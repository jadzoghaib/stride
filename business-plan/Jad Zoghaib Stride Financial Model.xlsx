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9"/>
  <workbookPr/>
  <mc:AlternateContent xmlns:mc="http://schemas.openxmlformats.org/markup-compatibility/2006">
    <mc:Choice Requires="x15">
      <x15ac:absPath xmlns:x15ac="http://schemas.microsoft.com/office/spreadsheetml/2010/11/ac" url="https://urledu-my.sharepoint.com/personal/jad_zoghaib_alumni_esade_edu/Documents/Desktop/stride/business-plan/"/>
    </mc:Choice>
  </mc:AlternateContent>
  <xr:revisionPtr revIDLastSave="1" documentId="11_FC8C12FEC4CE159C5434F66380854E2CA41A2E6B" xr6:coauthVersionLast="47" xr6:coauthVersionMax="47" xr10:uidLastSave="{2EA7126B-101B-4B78-9A41-5E250BC1FDA4}"/>
  <bookViews>
    <workbookView xWindow="-110" yWindow="-110" windowWidth="19420" windowHeight="11500" firstSheet="12" activeTab="12" xr2:uid="{00000000-000D-0000-FFFF-FFFF00000000}"/>
  </bookViews>
  <sheets>
    <sheet name="README" sheetId="1" r:id="rId1"/>
    <sheet name="Assumptions" sheetId="2" r:id="rId2"/>
    <sheet name="Drivers" sheetId="3" r:id="rId3"/>
    <sheet name="Revenue" sheetId="4" r:id="rId4"/>
    <sheet name="Costs" sheetId="5" r:id="rId5"/>
    <sheet name="WorkingCap" sheetId="6" r:id="rId6"/>
    <sheet name="P&amp;L" sheetId="7" r:id="rId7"/>
    <sheet name="CashFlow" sheetId="8" r:id="rId8"/>
    <sheet name="BalanceSheet" sheetId="9" r:id="rId9"/>
    <sheet name="Valuation" sheetId="10" r:id="rId10"/>
    <sheet name="Funding" sheetId="11" r:id="rId11"/>
    <sheet name="HiringPlan" sheetId="12" r:id="rId12"/>
    <sheet name="CAC_CLV" sheetId="13" r:id="rId13"/>
    <sheet name="KPIs" sheetId="14" r:id="rId14"/>
    <sheet name="Comparables" sheetId="15" r:id="rId15"/>
    <sheet name="MarketModel" sheetId="16" r:id="rId16"/>
    <sheet name="Research" sheetId="17"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3" i="17" l="1"/>
  <c r="B42" i="17"/>
  <c r="B40" i="17"/>
  <c r="B39" i="17"/>
  <c r="B37" i="17"/>
  <c r="B36" i="17"/>
  <c r="B35" i="17"/>
  <c r="B34" i="17"/>
  <c r="B33" i="17"/>
  <c r="B32" i="17"/>
  <c r="B31" i="17"/>
  <c r="B30" i="17"/>
  <c r="B29" i="17"/>
  <c r="B27" i="17"/>
  <c r="B22" i="17"/>
  <c r="B21" i="17"/>
  <c r="B20" i="17"/>
  <c r="B17" i="17"/>
  <c r="B16" i="17"/>
  <c r="B15" i="17"/>
  <c r="B14" i="17"/>
  <c r="B10" i="17"/>
  <c r="B9" i="17"/>
  <c r="B8" i="17"/>
  <c r="B7" i="17"/>
  <c r="B6" i="17"/>
  <c r="B61" i="16"/>
  <c r="B60" i="16"/>
  <c r="B59" i="16"/>
  <c r="B62" i="16" s="1"/>
  <c r="B58" i="16"/>
  <c r="B51" i="16"/>
  <c r="B50" i="16"/>
  <c r="B49" i="16"/>
  <c r="B48" i="16"/>
  <c r="B47" i="16"/>
  <c r="B43" i="16"/>
  <c r="B41" i="16"/>
  <c r="B40" i="16"/>
  <c r="B32" i="16"/>
  <c r="B30" i="16"/>
  <c r="B31" i="16" s="1"/>
  <c r="B34" i="16" s="1"/>
  <c r="B29" i="16"/>
  <c r="B26" i="16"/>
  <c r="B23" i="16"/>
  <c r="B22" i="16"/>
  <c r="B27" i="16" s="1"/>
  <c r="B21" i="16"/>
  <c r="B13" i="16"/>
  <c r="B12" i="16"/>
  <c r="B42" i="16" s="1"/>
  <c r="B9" i="16"/>
  <c r="B7" i="16"/>
  <c r="B6" i="16"/>
  <c r="B8" i="16" s="1"/>
  <c r="E74" i="15"/>
  <c r="D74" i="15"/>
  <c r="L18" i="14"/>
  <c r="K18" i="14"/>
  <c r="J18" i="14"/>
  <c r="I18" i="14"/>
  <c r="H18" i="14"/>
  <c r="G18" i="14"/>
  <c r="F18" i="14"/>
  <c r="E18" i="14"/>
  <c r="D18" i="14"/>
  <c r="C18" i="14"/>
  <c r="L17" i="14"/>
  <c r="K17" i="14"/>
  <c r="J17" i="14"/>
  <c r="I17" i="14"/>
  <c r="H17" i="14"/>
  <c r="G17" i="14"/>
  <c r="F17" i="14"/>
  <c r="E17" i="14"/>
  <c r="D17" i="14"/>
  <c r="C17" i="14"/>
  <c r="G5" i="14"/>
  <c r="L34" i="13"/>
  <c r="K34" i="13"/>
  <c r="J34" i="13"/>
  <c r="I34" i="13"/>
  <c r="H34" i="13"/>
  <c r="G34" i="13"/>
  <c r="F34" i="13"/>
  <c r="E34" i="13"/>
  <c r="D34" i="13"/>
  <c r="C34" i="13"/>
  <c r="L33" i="13"/>
  <c r="K33" i="13"/>
  <c r="J33" i="13"/>
  <c r="I33" i="13"/>
  <c r="H33" i="13"/>
  <c r="G33" i="13"/>
  <c r="F33" i="13"/>
  <c r="E33" i="13"/>
  <c r="D33" i="13"/>
  <c r="C33" i="13"/>
  <c r="H26" i="13"/>
  <c r="E26" i="13"/>
  <c r="D26" i="13"/>
  <c r="C26" i="13"/>
  <c r="L25" i="13"/>
  <c r="L26" i="13" s="1"/>
  <c r="K25" i="13"/>
  <c r="K26" i="13" s="1"/>
  <c r="J25" i="13"/>
  <c r="J26" i="13" s="1"/>
  <c r="I25" i="13"/>
  <c r="I26" i="13" s="1"/>
  <c r="H25" i="13"/>
  <c r="G25" i="13"/>
  <c r="G26" i="13" s="1"/>
  <c r="F25" i="13"/>
  <c r="F26" i="13" s="1"/>
  <c r="E25" i="13"/>
  <c r="D25" i="13"/>
  <c r="C25" i="13"/>
  <c r="K23" i="13"/>
  <c r="J23" i="13"/>
  <c r="F23" i="13"/>
  <c r="L19" i="13"/>
  <c r="K19" i="13"/>
  <c r="J19" i="13"/>
  <c r="I19" i="13"/>
  <c r="H19" i="13"/>
  <c r="G19" i="13"/>
  <c r="F19" i="13"/>
  <c r="E19" i="13"/>
  <c r="D19" i="13"/>
  <c r="C19" i="13"/>
  <c r="L5" i="13"/>
  <c r="K5" i="13"/>
  <c r="J5" i="13"/>
  <c r="I5" i="13"/>
  <c r="H5" i="13"/>
  <c r="G5" i="13"/>
  <c r="F5" i="13"/>
  <c r="E5" i="13"/>
  <c r="D5" i="13"/>
  <c r="C5" i="13"/>
  <c r="L36" i="12"/>
  <c r="K36" i="12"/>
  <c r="J36" i="12"/>
  <c r="I36" i="12"/>
  <c r="H36" i="12"/>
  <c r="G36" i="12"/>
  <c r="F36" i="12"/>
  <c r="E36" i="12"/>
  <c r="D36" i="12"/>
  <c r="C36" i="12"/>
  <c r="L31" i="12"/>
  <c r="K31" i="12"/>
  <c r="D31" i="12"/>
  <c r="C31" i="12"/>
  <c r="L30" i="12"/>
  <c r="K30" i="12"/>
  <c r="J30" i="12"/>
  <c r="I30" i="12"/>
  <c r="H30" i="12"/>
  <c r="G30" i="12"/>
  <c r="F30" i="12"/>
  <c r="E30" i="12"/>
  <c r="D30" i="12"/>
  <c r="C30" i="12"/>
  <c r="F29" i="12"/>
  <c r="E29" i="12"/>
  <c r="C29" i="12"/>
  <c r="L28" i="12"/>
  <c r="H28" i="12"/>
  <c r="H32" i="12" s="1"/>
  <c r="G28" i="12"/>
  <c r="F28" i="12"/>
  <c r="C28" i="12"/>
  <c r="L27" i="12"/>
  <c r="K27" i="12"/>
  <c r="H27" i="12"/>
  <c r="G27" i="12"/>
  <c r="E27" i="12"/>
  <c r="C27" i="12"/>
  <c r="K26" i="12"/>
  <c r="J26" i="12"/>
  <c r="F26" i="12"/>
  <c r="E26" i="12"/>
  <c r="C26" i="12"/>
  <c r="C32" i="12" s="1"/>
  <c r="L25" i="12"/>
  <c r="I25" i="12"/>
  <c r="I32" i="12" s="1"/>
  <c r="F25" i="12"/>
  <c r="E25" i="12"/>
  <c r="E32" i="12" s="1"/>
  <c r="C25" i="12"/>
  <c r="L23" i="12"/>
  <c r="K23" i="12"/>
  <c r="J23" i="12"/>
  <c r="J31" i="12" s="1"/>
  <c r="I23" i="12"/>
  <c r="I31" i="12" s="1"/>
  <c r="H23" i="12"/>
  <c r="H31" i="12" s="1"/>
  <c r="G23" i="12"/>
  <c r="G31" i="12" s="1"/>
  <c r="F23" i="12"/>
  <c r="F31" i="12" s="1"/>
  <c r="E23" i="12"/>
  <c r="E31" i="12" s="1"/>
  <c r="D23" i="12"/>
  <c r="L22" i="12"/>
  <c r="K22" i="12"/>
  <c r="J22" i="12"/>
  <c r="I22" i="12"/>
  <c r="H22" i="12"/>
  <c r="G22" i="12"/>
  <c r="F22" i="12"/>
  <c r="E22" i="12"/>
  <c r="D22" i="12"/>
  <c r="L21" i="12"/>
  <c r="L29" i="12" s="1"/>
  <c r="K21" i="12"/>
  <c r="K29" i="12" s="1"/>
  <c r="J21" i="12"/>
  <c r="J29" i="12" s="1"/>
  <c r="I21" i="12"/>
  <c r="I29" i="12" s="1"/>
  <c r="H21" i="12"/>
  <c r="H29" i="12" s="1"/>
  <c r="G21" i="12"/>
  <c r="G29" i="12" s="1"/>
  <c r="F21" i="12"/>
  <c r="E21" i="12"/>
  <c r="D21" i="12"/>
  <c r="D29" i="12" s="1"/>
  <c r="L20" i="12"/>
  <c r="K20" i="12"/>
  <c r="K28" i="12" s="1"/>
  <c r="J20" i="12"/>
  <c r="J28" i="12" s="1"/>
  <c r="J32" i="12" s="1"/>
  <c r="I20" i="12"/>
  <c r="I28" i="12" s="1"/>
  <c r="H20" i="12"/>
  <c r="G20" i="12"/>
  <c r="F20" i="12"/>
  <c r="E20" i="12"/>
  <c r="E28" i="12" s="1"/>
  <c r="D20" i="12"/>
  <c r="D28" i="12" s="1"/>
  <c r="L19" i="12"/>
  <c r="K19" i="12"/>
  <c r="J19" i="12"/>
  <c r="J27" i="12" s="1"/>
  <c r="I19" i="12"/>
  <c r="I27" i="12" s="1"/>
  <c r="H19" i="12"/>
  <c r="G19" i="12"/>
  <c r="F19" i="12"/>
  <c r="F27" i="12" s="1"/>
  <c r="E19" i="12"/>
  <c r="D19" i="12"/>
  <c r="D27" i="12" s="1"/>
  <c r="L18" i="12"/>
  <c r="L26" i="12" s="1"/>
  <c r="K18" i="12"/>
  <c r="J18" i="12"/>
  <c r="I18" i="12"/>
  <c r="I26" i="12" s="1"/>
  <c r="H18" i="12"/>
  <c r="H26" i="12" s="1"/>
  <c r="G18" i="12"/>
  <c r="G26" i="12" s="1"/>
  <c r="F18" i="12"/>
  <c r="E18" i="12"/>
  <c r="D18" i="12"/>
  <c r="D26" i="12" s="1"/>
  <c r="L17" i="12"/>
  <c r="K17" i="12"/>
  <c r="K25" i="12" s="1"/>
  <c r="J17" i="12"/>
  <c r="J25" i="12" s="1"/>
  <c r="I17" i="12"/>
  <c r="H17" i="12"/>
  <c r="H25" i="12" s="1"/>
  <c r="G17" i="12"/>
  <c r="G25" i="12" s="1"/>
  <c r="F17" i="12"/>
  <c r="E17" i="12"/>
  <c r="D17" i="12"/>
  <c r="D25" i="12" s="1"/>
  <c r="L12" i="12"/>
  <c r="K12" i="12"/>
  <c r="J12" i="12"/>
  <c r="I12" i="12"/>
  <c r="H12" i="12"/>
  <c r="G12" i="12"/>
  <c r="F12" i="12"/>
  <c r="E12" i="12"/>
  <c r="D12" i="12"/>
  <c r="C12" i="12"/>
  <c r="C10" i="11"/>
  <c r="G7" i="11"/>
  <c r="E7" i="11"/>
  <c r="D7" i="11"/>
  <c r="C7" i="11"/>
  <c r="L6" i="11"/>
  <c r="L7" i="11" s="1"/>
  <c r="K6" i="11"/>
  <c r="K7" i="11" s="1"/>
  <c r="J6" i="11"/>
  <c r="J7" i="11" s="1"/>
  <c r="I6" i="11"/>
  <c r="I7" i="11" s="1"/>
  <c r="H6" i="11"/>
  <c r="H7" i="11" s="1"/>
  <c r="G6" i="11"/>
  <c r="F6" i="11"/>
  <c r="F7" i="11" s="1"/>
  <c r="E6" i="11"/>
  <c r="D6" i="11"/>
  <c r="C6" i="11"/>
  <c r="L5" i="10"/>
  <c r="F5" i="10"/>
  <c r="E5" i="10"/>
  <c r="D5" i="10"/>
  <c r="C5" i="10"/>
  <c r="I16" i="9"/>
  <c r="H16" i="9"/>
  <c r="G16" i="9"/>
  <c r="C16" i="9"/>
  <c r="D16" i="9" s="1"/>
  <c r="E16" i="9" s="1"/>
  <c r="F16" i="9" s="1"/>
  <c r="C13" i="8"/>
  <c r="L12" i="8"/>
  <c r="K12" i="8"/>
  <c r="J12" i="8"/>
  <c r="I12" i="8"/>
  <c r="H12" i="8"/>
  <c r="G12" i="8"/>
  <c r="F12" i="8"/>
  <c r="E12" i="8"/>
  <c r="D12" i="8"/>
  <c r="C12" i="8"/>
  <c r="C16" i="7"/>
  <c r="I31" i="5"/>
  <c r="L30" i="5"/>
  <c r="K30" i="5"/>
  <c r="J30" i="5"/>
  <c r="I30" i="5"/>
  <c r="H30" i="5"/>
  <c r="G30" i="5"/>
  <c r="F30" i="5"/>
  <c r="E30" i="5"/>
  <c r="D30" i="5"/>
  <c r="C30" i="5"/>
  <c r="L29" i="5"/>
  <c r="K29" i="5"/>
  <c r="J29" i="5"/>
  <c r="I29" i="5"/>
  <c r="H29" i="5"/>
  <c r="G29" i="5"/>
  <c r="F29" i="5"/>
  <c r="E29" i="5"/>
  <c r="D29" i="5"/>
  <c r="C29" i="5"/>
  <c r="L28" i="5"/>
  <c r="K28" i="5"/>
  <c r="J28" i="5"/>
  <c r="I28" i="5"/>
  <c r="H28" i="5"/>
  <c r="G28" i="5"/>
  <c r="F28" i="5"/>
  <c r="E28" i="5"/>
  <c r="D28" i="5"/>
  <c r="C28" i="5"/>
  <c r="L27" i="5"/>
  <c r="K27" i="5"/>
  <c r="J27" i="5"/>
  <c r="I27" i="5"/>
  <c r="H27" i="5"/>
  <c r="G27" i="5"/>
  <c r="F27" i="5"/>
  <c r="E27" i="5"/>
  <c r="D27" i="5"/>
  <c r="C27" i="5"/>
  <c r="L26" i="5"/>
  <c r="K26" i="5"/>
  <c r="J26" i="5"/>
  <c r="I26" i="5"/>
  <c r="H26" i="5"/>
  <c r="G26" i="5"/>
  <c r="F26" i="5"/>
  <c r="E26" i="5"/>
  <c r="D26" i="5"/>
  <c r="C26" i="5"/>
  <c r="L25" i="5"/>
  <c r="K25" i="5"/>
  <c r="J25" i="5"/>
  <c r="I25" i="5"/>
  <c r="H25" i="5"/>
  <c r="G25" i="5"/>
  <c r="F25" i="5"/>
  <c r="E25" i="5"/>
  <c r="D25" i="5"/>
  <c r="C25" i="5"/>
  <c r="L24" i="5"/>
  <c r="K24" i="5"/>
  <c r="J24" i="5"/>
  <c r="I24" i="5"/>
  <c r="H24" i="5"/>
  <c r="G24" i="5"/>
  <c r="F24" i="5"/>
  <c r="E24" i="5"/>
  <c r="D24" i="5"/>
  <c r="C24" i="5"/>
  <c r="L20" i="5"/>
  <c r="J17" i="5"/>
  <c r="C27" i="4"/>
  <c r="H25" i="4"/>
  <c r="G25" i="4"/>
  <c r="L18" i="4"/>
  <c r="K18" i="4"/>
  <c r="I18" i="4"/>
  <c r="G18" i="4"/>
  <c r="C18" i="4"/>
  <c r="K17" i="4"/>
  <c r="I17" i="4"/>
  <c r="C17" i="4"/>
  <c r="C19" i="4" s="1"/>
  <c r="K16" i="4"/>
  <c r="K19" i="4" s="1"/>
  <c r="I16" i="4"/>
  <c r="I19" i="4" s="1"/>
  <c r="G16" i="4"/>
  <c r="C16" i="4"/>
  <c r="D53" i="3"/>
  <c r="C53" i="3"/>
  <c r="L52" i="3"/>
  <c r="J52" i="3"/>
  <c r="I52" i="3"/>
  <c r="H52" i="3"/>
  <c r="G52" i="3"/>
  <c r="E52" i="3"/>
  <c r="C52" i="3"/>
  <c r="L49" i="3"/>
  <c r="K49" i="3"/>
  <c r="K20" i="5" s="1"/>
  <c r="J49" i="3"/>
  <c r="J20" i="5" s="1"/>
  <c r="I49" i="3"/>
  <c r="I20" i="5" s="1"/>
  <c r="H49" i="3"/>
  <c r="H20" i="5" s="1"/>
  <c r="G49" i="3"/>
  <c r="G20" i="5" s="1"/>
  <c r="F49" i="3"/>
  <c r="F20" i="5" s="1"/>
  <c r="E49" i="3"/>
  <c r="E20" i="5" s="1"/>
  <c r="D49" i="3"/>
  <c r="D20" i="5" s="1"/>
  <c r="C49" i="3"/>
  <c r="C20" i="5" s="1"/>
  <c r="K47" i="3"/>
  <c r="K48" i="3" s="1"/>
  <c r="J47" i="3"/>
  <c r="J48" i="3" s="1"/>
  <c r="J7" i="14" s="1"/>
  <c r="H47" i="3"/>
  <c r="H48" i="3" s="1"/>
  <c r="H7" i="14" s="1"/>
  <c r="G47" i="3"/>
  <c r="G48" i="3" s="1"/>
  <c r="C47" i="3"/>
  <c r="C48" i="3" s="1"/>
  <c r="I45" i="3"/>
  <c r="I14" i="4" s="1"/>
  <c r="G45" i="3"/>
  <c r="G14" i="4" s="1"/>
  <c r="I44" i="3"/>
  <c r="L33" i="3"/>
  <c r="J33" i="3"/>
  <c r="H33" i="3"/>
  <c r="C29" i="3"/>
  <c r="L28" i="3"/>
  <c r="K28" i="3"/>
  <c r="K33" i="3" s="1"/>
  <c r="J28" i="3"/>
  <c r="I28" i="3"/>
  <c r="I33" i="3" s="1"/>
  <c r="H28" i="3"/>
  <c r="G28" i="3"/>
  <c r="G33" i="3" s="1"/>
  <c r="F28" i="3"/>
  <c r="F33" i="3" s="1"/>
  <c r="E28" i="3"/>
  <c r="E33" i="3" s="1"/>
  <c r="D28" i="3"/>
  <c r="D33" i="3" s="1"/>
  <c r="C28" i="3"/>
  <c r="C33" i="3" s="1"/>
  <c r="I26" i="3"/>
  <c r="I27" i="3" s="1"/>
  <c r="J24" i="3"/>
  <c r="H24" i="3"/>
  <c r="C24" i="3"/>
  <c r="L19" i="3"/>
  <c r="F19" i="3"/>
  <c r="E19" i="3"/>
  <c r="D19" i="3"/>
  <c r="C19" i="3"/>
  <c r="C15" i="3"/>
  <c r="L14" i="3"/>
  <c r="K14" i="3"/>
  <c r="K19" i="3" s="1"/>
  <c r="J14" i="3"/>
  <c r="J19" i="3" s="1"/>
  <c r="I14" i="3"/>
  <c r="I19" i="3" s="1"/>
  <c r="H14" i="3"/>
  <c r="H19" i="3" s="1"/>
  <c r="G14" i="3"/>
  <c r="G19" i="3" s="1"/>
  <c r="F14" i="3"/>
  <c r="E14" i="3"/>
  <c r="D14" i="3"/>
  <c r="C14" i="3"/>
  <c r="E13" i="3"/>
  <c r="J12" i="3"/>
  <c r="J13" i="3" s="1"/>
  <c r="I12" i="3"/>
  <c r="I13" i="3" s="1"/>
  <c r="H12" i="3"/>
  <c r="H13" i="3" s="1"/>
  <c r="D12" i="3"/>
  <c r="D13" i="3" s="1"/>
  <c r="H10" i="3"/>
  <c r="H11" i="3" s="1"/>
  <c r="F10" i="3"/>
  <c r="C10" i="3"/>
  <c r="I7" i="3"/>
  <c r="G7" i="3"/>
  <c r="G26" i="3" s="1"/>
  <c r="G27" i="3" s="1"/>
  <c r="J6" i="3"/>
  <c r="I6" i="3"/>
  <c r="J10" i="3" s="1"/>
  <c r="H6" i="3"/>
  <c r="G6" i="3"/>
  <c r="E6" i="3"/>
  <c r="E12" i="3" s="1"/>
  <c r="D6" i="3"/>
  <c r="E10" i="3" s="1"/>
  <c r="C6" i="3"/>
  <c r="C44" i="3" s="1"/>
  <c r="L5" i="3"/>
  <c r="K5" i="3"/>
  <c r="J5" i="3"/>
  <c r="I5" i="3"/>
  <c r="H5" i="3"/>
  <c r="H5" i="14" s="1"/>
  <c r="G5" i="3"/>
  <c r="F5" i="3"/>
  <c r="E5" i="3"/>
  <c r="D5" i="3"/>
  <c r="D47" i="3" s="1"/>
  <c r="D48" i="3" s="1"/>
  <c r="C5" i="3"/>
  <c r="L114" i="2"/>
  <c r="K114" i="2"/>
  <c r="J114" i="2"/>
  <c r="I114" i="2"/>
  <c r="H114" i="2"/>
  <c r="G114" i="2"/>
  <c r="F114" i="2"/>
  <c r="E114" i="2"/>
  <c r="D114" i="2"/>
  <c r="L113" i="2"/>
  <c r="K113" i="2"/>
  <c r="J113" i="2"/>
  <c r="I113" i="2"/>
  <c r="H113" i="2"/>
  <c r="G113" i="2"/>
  <c r="F113" i="2"/>
  <c r="E113" i="2"/>
  <c r="D113" i="2"/>
  <c r="L112" i="2"/>
  <c r="K112" i="2"/>
  <c r="J112" i="2"/>
  <c r="I112" i="2"/>
  <c r="H112" i="2"/>
  <c r="G112" i="2"/>
  <c r="F112" i="2"/>
  <c r="E112" i="2"/>
  <c r="D112" i="2"/>
  <c r="L111" i="2"/>
  <c r="K111" i="2"/>
  <c r="J111" i="2"/>
  <c r="I111" i="2"/>
  <c r="H111" i="2"/>
  <c r="G111" i="2"/>
  <c r="F111" i="2"/>
  <c r="E111" i="2"/>
  <c r="D111" i="2"/>
  <c r="C110" i="2"/>
  <c r="L109" i="2"/>
  <c r="L110" i="2" s="1"/>
  <c r="K109" i="2"/>
  <c r="J109" i="2"/>
  <c r="J110" i="2" s="1"/>
  <c r="I109" i="2"/>
  <c r="I110" i="2" s="1"/>
  <c r="H109" i="2"/>
  <c r="G109" i="2"/>
  <c r="F109" i="2"/>
  <c r="E109" i="2"/>
  <c r="D109" i="2"/>
  <c r="L108" i="2"/>
  <c r="K108" i="2"/>
  <c r="J108" i="2"/>
  <c r="I108" i="2"/>
  <c r="H108" i="2"/>
  <c r="G108" i="2"/>
  <c r="F108" i="2"/>
  <c r="E108" i="2"/>
  <c r="D108" i="2"/>
  <c r="L107" i="2"/>
  <c r="K107" i="2"/>
  <c r="K110" i="2" s="1"/>
  <c r="J107" i="2"/>
  <c r="I107" i="2"/>
  <c r="H107" i="2"/>
  <c r="G107" i="2"/>
  <c r="F107" i="2"/>
  <c r="F110" i="2" s="1"/>
  <c r="E107" i="2"/>
  <c r="D107" i="2"/>
  <c r="D110" i="2" s="1"/>
  <c r="L104" i="2"/>
  <c r="K104" i="2"/>
  <c r="J104" i="2"/>
  <c r="I104" i="2"/>
  <c r="H104" i="2"/>
  <c r="G104" i="2"/>
  <c r="F104" i="2"/>
  <c r="E104" i="2"/>
  <c r="D104" i="2"/>
  <c r="L103" i="2"/>
  <c r="K103" i="2"/>
  <c r="J103" i="2"/>
  <c r="I103" i="2"/>
  <c r="H103" i="2"/>
  <c r="G103" i="2"/>
  <c r="F103" i="2"/>
  <c r="E103" i="2"/>
  <c r="D103" i="2"/>
  <c r="L101" i="2"/>
  <c r="L53" i="3" s="1"/>
  <c r="K101" i="2"/>
  <c r="J101" i="2"/>
  <c r="J53" i="3" s="1"/>
  <c r="I101" i="2"/>
  <c r="I53" i="3" s="1"/>
  <c r="H101" i="2"/>
  <c r="G101" i="2"/>
  <c r="G53" i="3" s="1"/>
  <c r="F101" i="2"/>
  <c r="F53" i="3" s="1"/>
  <c r="E101" i="2"/>
  <c r="E53" i="3" s="1"/>
  <c r="D101" i="2"/>
  <c r="L100" i="2"/>
  <c r="K100" i="2"/>
  <c r="J100" i="2"/>
  <c r="I100" i="2"/>
  <c r="H100" i="2"/>
  <c r="G100" i="2"/>
  <c r="F100" i="2"/>
  <c r="E100" i="2"/>
  <c r="D100" i="2"/>
  <c r="L99" i="2"/>
  <c r="K99" i="2"/>
  <c r="J99" i="2"/>
  <c r="I99" i="2"/>
  <c r="H99" i="2"/>
  <c r="H53" i="3" s="1"/>
  <c r="G99" i="2"/>
  <c r="F99" i="2"/>
  <c r="E99" i="2"/>
  <c r="D99" i="2"/>
  <c r="L98" i="2"/>
  <c r="K98" i="2"/>
  <c r="J98" i="2"/>
  <c r="I98" i="2"/>
  <c r="H98" i="2"/>
  <c r="G98" i="2"/>
  <c r="F98" i="2"/>
  <c r="F52" i="3" s="1"/>
  <c r="E98" i="2"/>
  <c r="D98" i="2"/>
  <c r="L95" i="2"/>
  <c r="K95" i="2"/>
  <c r="J95" i="2"/>
  <c r="I95" i="2"/>
  <c r="H95" i="2"/>
  <c r="G95" i="2"/>
  <c r="F95" i="2"/>
  <c r="E95" i="2"/>
  <c r="D95" i="2"/>
  <c r="L94" i="2"/>
  <c r="K94" i="2"/>
  <c r="J94" i="2"/>
  <c r="I94" i="2"/>
  <c r="H94" i="2"/>
  <c r="G94" i="2"/>
  <c r="F94" i="2"/>
  <c r="E94" i="2"/>
  <c r="D94" i="2"/>
  <c r="L93" i="2"/>
  <c r="K93" i="2"/>
  <c r="J93" i="2"/>
  <c r="I93" i="2"/>
  <c r="H93" i="2"/>
  <c r="G93" i="2"/>
  <c r="F93" i="2"/>
  <c r="E93" i="2"/>
  <c r="D93" i="2"/>
  <c r="L92" i="2"/>
  <c r="K92" i="2"/>
  <c r="J92" i="2"/>
  <c r="I92" i="2"/>
  <c r="H92" i="2"/>
  <c r="G92" i="2"/>
  <c r="F92" i="2"/>
  <c r="E92" i="2"/>
  <c r="D92" i="2"/>
  <c r="L91" i="2"/>
  <c r="K91" i="2"/>
  <c r="J91" i="2"/>
  <c r="I91" i="2"/>
  <c r="H91" i="2"/>
  <c r="G91" i="2"/>
  <c r="F91" i="2"/>
  <c r="E91" i="2"/>
  <c r="D91" i="2"/>
  <c r="L90" i="2"/>
  <c r="K90" i="2"/>
  <c r="J90" i="2"/>
  <c r="I90" i="2"/>
  <c r="H90" i="2"/>
  <c r="G90" i="2"/>
  <c r="F90" i="2"/>
  <c r="E90" i="2"/>
  <c r="D90" i="2"/>
  <c r="L89" i="2"/>
  <c r="K89" i="2"/>
  <c r="J89" i="2"/>
  <c r="I89" i="2"/>
  <c r="H89" i="2"/>
  <c r="G89" i="2"/>
  <c r="F89" i="2"/>
  <c r="E89" i="2"/>
  <c r="D89" i="2"/>
  <c r="L88" i="2"/>
  <c r="K88" i="2"/>
  <c r="J88" i="2"/>
  <c r="I88" i="2"/>
  <c r="H88" i="2"/>
  <c r="G88" i="2"/>
  <c r="F88" i="2"/>
  <c r="E88" i="2"/>
  <c r="D88" i="2"/>
  <c r="L85" i="2"/>
  <c r="K85" i="2"/>
  <c r="J85" i="2"/>
  <c r="I85" i="2"/>
  <c r="H85" i="2"/>
  <c r="G85" i="2"/>
  <c r="F85" i="2"/>
  <c r="E85" i="2"/>
  <c r="D85" i="2"/>
  <c r="L66" i="2"/>
  <c r="K66" i="2"/>
  <c r="J66" i="2"/>
  <c r="I66" i="2"/>
  <c r="H66" i="2"/>
  <c r="G66" i="2"/>
  <c r="E66" i="2"/>
  <c r="D66" i="2"/>
  <c r="C66" i="2"/>
  <c r="C23" i="5" s="1"/>
  <c r="L63" i="2"/>
  <c r="K63" i="2"/>
  <c r="J63" i="2"/>
  <c r="I63" i="2"/>
  <c r="H63" i="2"/>
  <c r="H12" i="5" s="1"/>
  <c r="G63" i="2"/>
  <c r="F63" i="2"/>
  <c r="E63" i="2"/>
  <c r="E12" i="5" s="1"/>
  <c r="D63" i="2"/>
  <c r="L62" i="2"/>
  <c r="K62" i="2"/>
  <c r="J62" i="2"/>
  <c r="I62" i="2"/>
  <c r="I12" i="5" s="1"/>
  <c r="H62" i="2"/>
  <c r="G62" i="2"/>
  <c r="G12" i="5" s="1"/>
  <c r="F62" i="2"/>
  <c r="E62" i="2"/>
  <c r="D62" i="2"/>
  <c r="L61" i="2"/>
  <c r="K61" i="2"/>
  <c r="J61" i="2"/>
  <c r="I61" i="2"/>
  <c r="H61" i="2"/>
  <c r="G61" i="2"/>
  <c r="F61" i="2"/>
  <c r="E61" i="2"/>
  <c r="D61" i="2"/>
  <c r="L60" i="2"/>
  <c r="K60" i="2"/>
  <c r="J60" i="2"/>
  <c r="I60" i="2"/>
  <c r="H60" i="2"/>
  <c r="G60" i="2"/>
  <c r="F60" i="2"/>
  <c r="E60" i="2"/>
  <c r="D60" i="2"/>
  <c r="L59" i="2"/>
  <c r="K59" i="2"/>
  <c r="J59" i="2"/>
  <c r="I59" i="2"/>
  <c r="H59" i="2"/>
  <c r="G59" i="2"/>
  <c r="F59" i="2"/>
  <c r="E59" i="2"/>
  <c r="D59" i="2"/>
  <c r="L55" i="2"/>
  <c r="K55" i="2"/>
  <c r="J55" i="2"/>
  <c r="I55" i="2"/>
  <c r="H55" i="2"/>
  <c r="G55" i="2"/>
  <c r="F55" i="2"/>
  <c r="E55" i="2"/>
  <c r="D55" i="2"/>
  <c r="L54" i="2"/>
  <c r="K54" i="2"/>
  <c r="J54" i="2"/>
  <c r="I54" i="2"/>
  <c r="H54" i="2"/>
  <c r="G54" i="2"/>
  <c r="F54" i="2"/>
  <c r="E54" i="2"/>
  <c r="D54" i="2"/>
  <c r="L53" i="2"/>
  <c r="K53" i="2"/>
  <c r="J53" i="2"/>
  <c r="I53" i="2"/>
  <c r="H53" i="2"/>
  <c r="G53" i="2"/>
  <c r="F53" i="2"/>
  <c r="E53" i="2"/>
  <c r="E23" i="13" s="1"/>
  <c r="D53" i="2"/>
  <c r="L52" i="2"/>
  <c r="L23" i="13" s="1"/>
  <c r="K52" i="2"/>
  <c r="J52" i="2"/>
  <c r="I52" i="2"/>
  <c r="H52" i="2"/>
  <c r="G52" i="2"/>
  <c r="F52" i="2"/>
  <c r="E52" i="2"/>
  <c r="D52" i="2"/>
  <c r="L51" i="2"/>
  <c r="K51" i="2"/>
  <c r="J51" i="2"/>
  <c r="I51" i="2"/>
  <c r="H51" i="2"/>
  <c r="G51" i="2"/>
  <c r="F51" i="2"/>
  <c r="E51" i="2"/>
  <c r="D51" i="2"/>
  <c r="L50" i="2"/>
  <c r="K50" i="2"/>
  <c r="J50" i="2"/>
  <c r="I50" i="2"/>
  <c r="H50" i="2"/>
  <c r="G50" i="2"/>
  <c r="F50" i="2"/>
  <c r="E50" i="2"/>
  <c r="D50" i="2"/>
  <c r="L49" i="2"/>
  <c r="K49" i="2"/>
  <c r="J49" i="2"/>
  <c r="I49" i="2"/>
  <c r="H49" i="2"/>
  <c r="G49" i="2"/>
  <c r="F49" i="2"/>
  <c r="E49" i="2"/>
  <c r="D49" i="2"/>
  <c r="L48" i="2"/>
  <c r="K48" i="2"/>
  <c r="J48" i="2"/>
  <c r="I48" i="2"/>
  <c r="H48" i="2"/>
  <c r="G48" i="2"/>
  <c r="F48" i="2"/>
  <c r="E48" i="2"/>
  <c r="D48" i="2"/>
  <c r="L47" i="2"/>
  <c r="K47" i="2"/>
  <c r="J47" i="2"/>
  <c r="J16" i="4" s="1"/>
  <c r="I47" i="2"/>
  <c r="H47" i="2"/>
  <c r="G47" i="2"/>
  <c r="F47" i="2"/>
  <c r="E47" i="2"/>
  <c r="E16" i="4" s="1"/>
  <c r="D47" i="2"/>
  <c r="L46" i="2"/>
  <c r="L16" i="4" s="1"/>
  <c r="K46" i="2"/>
  <c r="J46" i="2"/>
  <c r="I46" i="2"/>
  <c r="H46" i="2"/>
  <c r="H17" i="4" s="1"/>
  <c r="G46" i="2"/>
  <c r="F46" i="2"/>
  <c r="E46" i="2"/>
  <c r="E17" i="4" s="1"/>
  <c r="D46" i="2"/>
  <c r="L45" i="2"/>
  <c r="L17" i="4" s="1"/>
  <c r="L19" i="4" s="1"/>
  <c r="K45" i="2"/>
  <c r="J45" i="2"/>
  <c r="I45" i="2"/>
  <c r="H45" i="2"/>
  <c r="G45" i="2"/>
  <c r="F45" i="2"/>
  <c r="E45" i="2"/>
  <c r="D45" i="2"/>
  <c r="L44" i="2"/>
  <c r="K44" i="2"/>
  <c r="J44" i="2"/>
  <c r="J18" i="4" s="1"/>
  <c r="I44" i="2"/>
  <c r="H44" i="2"/>
  <c r="H18" i="4" s="1"/>
  <c r="G44" i="2"/>
  <c r="F44" i="2"/>
  <c r="F18" i="4" s="1"/>
  <c r="E44" i="2"/>
  <c r="E18" i="4" s="1"/>
  <c r="E19" i="4" s="1"/>
  <c r="D44" i="2"/>
  <c r="D18" i="4" s="1"/>
  <c r="L43" i="2"/>
  <c r="K43" i="2"/>
  <c r="J43" i="2"/>
  <c r="I43" i="2"/>
  <c r="H43" i="2"/>
  <c r="G43" i="2"/>
  <c r="F43" i="2"/>
  <c r="E43" i="2"/>
  <c r="D43" i="2"/>
  <c r="L42" i="2"/>
  <c r="K42" i="2"/>
  <c r="J42" i="2"/>
  <c r="I42" i="2"/>
  <c r="H42" i="2"/>
  <c r="G42" i="2"/>
  <c r="F42" i="2"/>
  <c r="E42" i="2"/>
  <c r="D42" i="2"/>
  <c r="L41" i="2"/>
  <c r="K41" i="2"/>
  <c r="J41" i="2"/>
  <c r="I41" i="2"/>
  <c r="H41" i="2"/>
  <c r="G41" i="2"/>
  <c r="F41" i="2"/>
  <c r="E41" i="2"/>
  <c r="D41" i="2"/>
  <c r="L40" i="2"/>
  <c r="K40" i="2"/>
  <c r="J40" i="2"/>
  <c r="I40" i="2"/>
  <c r="H40" i="2"/>
  <c r="G40" i="2"/>
  <c r="F40" i="2"/>
  <c r="E40" i="2"/>
  <c r="D40" i="2"/>
  <c r="L7" i="2"/>
  <c r="K7" i="2"/>
  <c r="J7" i="2"/>
  <c r="I7" i="2"/>
  <c r="H7" i="2"/>
  <c r="G7" i="2"/>
  <c r="F7" i="2"/>
  <c r="E7" i="2"/>
  <c r="E47" i="3" s="1"/>
  <c r="E48" i="3" s="1"/>
  <c r="D7" i="2"/>
  <c r="J35" i="12" l="1"/>
  <c r="K7" i="14"/>
  <c r="K25" i="4"/>
  <c r="C13" i="4"/>
  <c r="D25" i="4"/>
  <c r="D7" i="14"/>
  <c r="H18" i="5"/>
  <c r="E7" i="14"/>
  <c r="E25" i="4"/>
  <c r="K31" i="5"/>
  <c r="K23" i="5"/>
  <c r="F12" i="5"/>
  <c r="F5" i="14"/>
  <c r="F7" i="3"/>
  <c r="G7" i="14"/>
  <c r="D16" i="4"/>
  <c r="D17" i="4"/>
  <c r="D19" i="4" s="1"/>
  <c r="L31" i="5"/>
  <c r="L23" i="5"/>
  <c r="C74" i="15"/>
  <c r="L17" i="5"/>
  <c r="I46" i="3"/>
  <c r="I13" i="4"/>
  <c r="I15" i="4" s="1"/>
  <c r="H16" i="4"/>
  <c r="H19" i="4" s="1"/>
  <c r="J16" i="9"/>
  <c r="K5" i="14"/>
  <c r="K6" i="3"/>
  <c r="J25" i="4"/>
  <c r="J33" i="12"/>
  <c r="J34" i="12" s="1"/>
  <c r="L47" i="3"/>
  <c r="L48" i="3" s="1"/>
  <c r="L5" i="14"/>
  <c r="D10" i="3"/>
  <c r="D11" i="3" s="1"/>
  <c r="K17" i="5"/>
  <c r="D20" i="13"/>
  <c r="D21" i="13" s="1"/>
  <c r="D22" i="13"/>
  <c r="D23" i="13"/>
  <c r="B38" i="16"/>
  <c r="B37" i="16"/>
  <c r="E23" i="5"/>
  <c r="E31" i="5"/>
  <c r="E17" i="5"/>
  <c r="E110" i="2"/>
  <c r="F6" i="3"/>
  <c r="C11" i="3"/>
  <c r="L32" i="12"/>
  <c r="D32" i="12"/>
  <c r="D35" i="12" s="1"/>
  <c r="G32" i="12"/>
  <c r="F66" i="2"/>
  <c r="G44" i="3"/>
  <c r="G12" i="3"/>
  <c r="G13" i="3" s="1"/>
  <c r="J12" i="6"/>
  <c r="G23" i="5"/>
  <c r="G17" i="5"/>
  <c r="K52" i="3"/>
  <c r="G110" i="2"/>
  <c r="I10" i="3"/>
  <c r="I11" i="3" s="1"/>
  <c r="H44" i="3"/>
  <c r="H7" i="3"/>
  <c r="E11" i="3"/>
  <c r="C7" i="14"/>
  <c r="C25" i="4"/>
  <c r="K12" i="5"/>
  <c r="J20" i="13"/>
  <c r="J21" i="13" s="1"/>
  <c r="J22" i="13"/>
  <c r="D17" i="5"/>
  <c r="D23" i="5"/>
  <c r="D31" i="5"/>
  <c r="H17" i="5"/>
  <c r="H31" i="5"/>
  <c r="H23" i="5"/>
  <c r="H110" i="2"/>
  <c r="L12" i="5"/>
  <c r="C7" i="3"/>
  <c r="C12" i="3"/>
  <c r="C13" i="3" s="1"/>
  <c r="C16" i="3" s="1"/>
  <c r="F32" i="12"/>
  <c r="F35" i="12" s="1"/>
  <c r="I23" i="5"/>
  <c r="I17" i="5"/>
  <c r="D5" i="14"/>
  <c r="D12" i="5"/>
  <c r="D7" i="3"/>
  <c r="K10" i="3"/>
  <c r="J44" i="3"/>
  <c r="J11" i="3"/>
  <c r="D44" i="3"/>
  <c r="F16" i="4"/>
  <c r="F17" i="4"/>
  <c r="F19" i="4" s="1"/>
  <c r="J23" i="5"/>
  <c r="J31" i="5"/>
  <c r="L6" i="3"/>
  <c r="E44" i="3"/>
  <c r="F47" i="3"/>
  <c r="F48" i="3" s="1"/>
  <c r="L22" i="13"/>
  <c r="L20" i="13"/>
  <c r="L21" i="13" s="1"/>
  <c r="L24" i="13" s="1"/>
  <c r="L27" i="13" s="1"/>
  <c r="D52" i="3"/>
  <c r="K53" i="3"/>
  <c r="E22" i="13"/>
  <c r="J5" i="14"/>
  <c r="J12" i="5"/>
  <c r="J7" i="3"/>
  <c r="K32" i="12"/>
  <c r="C5" i="14"/>
  <c r="E35" i="12"/>
  <c r="C22" i="13"/>
  <c r="C20" i="13"/>
  <c r="C21" i="13" s="1"/>
  <c r="C24" i="13" s="1"/>
  <c r="C27" i="13" s="1"/>
  <c r="G17" i="4"/>
  <c r="G19" i="4" s="1"/>
  <c r="H5" i="10"/>
  <c r="J5" i="10"/>
  <c r="I5" i="10"/>
  <c r="K5" i="10"/>
  <c r="G5" i="10"/>
  <c r="E5" i="14"/>
  <c r="D10" i="11"/>
  <c r="C11" i="11"/>
  <c r="E20" i="13"/>
  <c r="E21" i="13" s="1"/>
  <c r="E24" i="13" s="1"/>
  <c r="E27" i="13" s="1"/>
  <c r="H35" i="12"/>
  <c r="F20" i="13"/>
  <c r="F21" i="13" s="1"/>
  <c r="F22" i="13"/>
  <c r="I35" i="12"/>
  <c r="G23" i="13"/>
  <c r="G22" i="13"/>
  <c r="G20" i="13"/>
  <c r="G21" i="13" s="1"/>
  <c r="H23" i="13"/>
  <c r="H20" i="13"/>
  <c r="H21" i="13" s="1"/>
  <c r="H22" i="13"/>
  <c r="C23" i="13"/>
  <c r="J17" i="4"/>
  <c r="J19" i="4" s="1"/>
  <c r="C17" i="5"/>
  <c r="C31" i="5"/>
  <c r="I5" i="14"/>
  <c r="I47" i="3"/>
  <c r="I48" i="3" s="1"/>
  <c r="E7" i="3"/>
  <c r="C12" i="5"/>
  <c r="I23" i="13"/>
  <c r="I20" i="13"/>
  <c r="I21" i="13" s="1"/>
  <c r="I22" i="13"/>
  <c r="K20" i="13"/>
  <c r="K21" i="13" s="1"/>
  <c r="C35" i="12"/>
  <c r="K22" i="13"/>
  <c r="D18" i="5" l="1"/>
  <c r="E18" i="5"/>
  <c r="C17" i="3"/>
  <c r="C20" i="3"/>
  <c r="C18" i="3"/>
  <c r="C21" i="3" s="1"/>
  <c r="G13" i="4"/>
  <c r="G15" i="4" s="1"/>
  <c r="G46" i="3"/>
  <c r="D13" i="4"/>
  <c r="D15" i="4" s="1"/>
  <c r="D46" i="3"/>
  <c r="K33" i="12"/>
  <c r="K34" i="12" s="1"/>
  <c r="K12" i="6"/>
  <c r="K8" i="8" s="1"/>
  <c r="H12" i="6"/>
  <c r="H33" i="12"/>
  <c r="H34" i="12" s="1"/>
  <c r="H24" i="13"/>
  <c r="H27" i="13" s="1"/>
  <c r="L44" i="3"/>
  <c r="L11" i="3"/>
  <c r="L7" i="3"/>
  <c r="L12" i="3"/>
  <c r="L13" i="3" s="1"/>
  <c r="E33" i="12"/>
  <c r="E34" i="12" s="1"/>
  <c r="E12" i="6"/>
  <c r="D24" i="13"/>
  <c r="D27" i="13" s="1"/>
  <c r="L35" i="12"/>
  <c r="G35" i="12"/>
  <c r="L25" i="4"/>
  <c r="L7" i="14"/>
  <c r="E13" i="4"/>
  <c r="I24" i="13"/>
  <c r="I27" i="13" s="1"/>
  <c r="J25" i="3"/>
  <c r="J19" i="5" s="1"/>
  <c r="J45" i="3"/>
  <c r="J14" i="4" s="1"/>
  <c r="K24" i="3"/>
  <c r="J26" i="3"/>
  <c r="J27" i="3" s="1"/>
  <c r="D12" i="6"/>
  <c r="D33" i="12"/>
  <c r="D34" i="12" s="1"/>
  <c r="F31" i="5"/>
  <c r="F23" i="5"/>
  <c r="F17" i="5"/>
  <c r="C33" i="12"/>
  <c r="C34" i="12" s="1"/>
  <c r="C12" i="6"/>
  <c r="J13" i="4"/>
  <c r="C18" i="5"/>
  <c r="C40" i="3"/>
  <c r="D45" i="3"/>
  <c r="D14" i="4" s="1"/>
  <c r="D25" i="3"/>
  <c r="D19" i="5" s="1"/>
  <c r="E24" i="3"/>
  <c r="E25" i="3" s="1"/>
  <c r="D26" i="3"/>
  <c r="D27" i="3" s="1"/>
  <c r="K35" i="12"/>
  <c r="G31" i="5"/>
  <c r="K11" i="3"/>
  <c r="K12" i="3"/>
  <c r="K13" i="3" s="1"/>
  <c r="L10" i="3"/>
  <c r="K44" i="3"/>
  <c r="K7" i="3"/>
  <c r="I24" i="4"/>
  <c r="I6" i="5"/>
  <c r="F24" i="13"/>
  <c r="F27" i="13" s="1"/>
  <c r="J18" i="5"/>
  <c r="J40" i="3"/>
  <c r="L12" i="6"/>
  <c r="L8" i="8" s="1"/>
  <c r="L33" i="12"/>
  <c r="L34" i="12" s="1"/>
  <c r="I18" i="5"/>
  <c r="K24" i="13"/>
  <c r="K27" i="13" s="1"/>
  <c r="I33" i="12"/>
  <c r="I34" i="12" s="1"/>
  <c r="I12" i="6"/>
  <c r="J8" i="8"/>
  <c r="I35" i="13"/>
  <c r="I36" i="13" s="1"/>
  <c r="I7" i="14"/>
  <c r="I25" i="4"/>
  <c r="C26" i="3"/>
  <c r="C27" i="3" s="1"/>
  <c r="C30" i="3" s="1"/>
  <c r="C45" i="3"/>
  <c r="C25" i="3"/>
  <c r="C19" i="5" s="1"/>
  <c r="D24" i="3"/>
  <c r="G24" i="3"/>
  <c r="G25" i="3" s="1"/>
  <c r="G19" i="5" s="1"/>
  <c r="F25" i="3"/>
  <c r="F19" i="5" s="1"/>
  <c r="F45" i="3"/>
  <c r="F14" i="4" s="1"/>
  <c r="F26" i="3"/>
  <c r="F27" i="3" s="1"/>
  <c r="H13" i="4"/>
  <c r="F7" i="14"/>
  <c r="F25" i="4"/>
  <c r="F12" i="3"/>
  <c r="F13" i="3" s="1"/>
  <c r="G10" i="3"/>
  <c r="G11" i="3" s="1"/>
  <c r="F11" i="3"/>
  <c r="F44" i="3"/>
  <c r="D11" i="11"/>
  <c r="E10" i="11"/>
  <c r="G24" i="13"/>
  <c r="G27" i="13" s="1"/>
  <c r="J24" i="13"/>
  <c r="J27" i="13" s="1"/>
  <c r="K16" i="9"/>
  <c r="H25" i="3"/>
  <c r="H26" i="3"/>
  <c r="H27" i="3" s="1"/>
  <c r="H45" i="3"/>
  <c r="H14" i="4" s="1"/>
  <c r="I24" i="3"/>
  <c r="I25" i="3" s="1"/>
  <c r="I19" i="5" s="1"/>
  <c r="G33" i="12"/>
  <c r="G34" i="12" s="1"/>
  <c r="G12" i="6"/>
  <c r="F24" i="3"/>
  <c r="E26" i="3"/>
  <c r="E27" i="3" s="1"/>
  <c r="E45" i="3"/>
  <c r="E14" i="4" s="1"/>
  <c r="E19" i="5" l="1"/>
  <c r="E40" i="3"/>
  <c r="J21" i="5"/>
  <c r="J46" i="3"/>
  <c r="C5" i="4"/>
  <c r="F18" i="5"/>
  <c r="F40" i="3"/>
  <c r="J6" i="13"/>
  <c r="J7" i="13"/>
  <c r="J8" i="13" s="1"/>
  <c r="J54" i="3"/>
  <c r="J55" i="3" s="1"/>
  <c r="D24" i="4"/>
  <c r="D6" i="5"/>
  <c r="C21" i="5"/>
  <c r="L13" i="6"/>
  <c r="G6" i="5"/>
  <c r="G24" i="4"/>
  <c r="H15" i="4"/>
  <c r="K26" i="3"/>
  <c r="K27" i="3" s="1"/>
  <c r="K45" i="3"/>
  <c r="K14" i="4" s="1"/>
  <c r="L24" i="3"/>
  <c r="K25" i="3"/>
  <c r="K19" i="5" s="1"/>
  <c r="L18" i="5"/>
  <c r="K46" i="3"/>
  <c r="K13" i="4"/>
  <c r="K15" i="4" s="1"/>
  <c r="L13" i="4"/>
  <c r="I8" i="8"/>
  <c r="K13" i="6"/>
  <c r="E15" i="4"/>
  <c r="D15" i="3"/>
  <c r="D8" i="8"/>
  <c r="F13" i="6"/>
  <c r="C8" i="8"/>
  <c r="C13" i="6"/>
  <c r="C14" i="6" s="1"/>
  <c r="D13" i="6"/>
  <c r="E13" i="6"/>
  <c r="E46" i="3"/>
  <c r="C14" i="4"/>
  <c r="C15" i="4" s="1"/>
  <c r="C46" i="3"/>
  <c r="H46" i="3"/>
  <c r="L16" i="9"/>
  <c r="K18" i="5"/>
  <c r="E8" i="8"/>
  <c r="G13" i="6"/>
  <c r="I5" i="6"/>
  <c r="E11" i="11"/>
  <c r="F10" i="11"/>
  <c r="F12" i="6"/>
  <c r="F33" i="12"/>
  <c r="F34" i="12" s="1"/>
  <c r="D40" i="3"/>
  <c r="C34" i="3"/>
  <c r="C6" i="4" s="1"/>
  <c r="C32" i="3"/>
  <c r="C31" i="3"/>
  <c r="C38" i="3" s="1"/>
  <c r="C6" i="14" s="1"/>
  <c r="H19" i="5"/>
  <c r="H40" i="3"/>
  <c r="L45" i="3"/>
  <c r="L14" i="4" s="1"/>
  <c r="L26" i="3"/>
  <c r="L27" i="3" s="1"/>
  <c r="L25" i="3"/>
  <c r="L19" i="5" s="1"/>
  <c r="I40" i="3"/>
  <c r="H8" i="8"/>
  <c r="J13" i="6"/>
  <c r="D21" i="5"/>
  <c r="G8" i="8"/>
  <c r="I13" i="6"/>
  <c r="G18" i="5"/>
  <c r="G40" i="3"/>
  <c r="C7" i="13"/>
  <c r="C8" i="13" s="1"/>
  <c r="C6" i="13"/>
  <c r="C54" i="3"/>
  <c r="C55" i="3" s="1"/>
  <c r="J15" i="4"/>
  <c r="F13" i="4"/>
  <c r="F15" i="4" s="1"/>
  <c r="F46" i="3"/>
  <c r="I21" i="5"/>
  <c r="D14" i="6" l="1"/>
  <c r="C7" i="9"/>
  <c r="E22" i="5"/>
  <c r="C56" i="3"/>
  <c r="C13" i="5"/>
  <c r="E5" i="8"/>
  <c r="E12" i="7"/>
  <c r="L15" i="4"/>
  <c r="G5" i="8"/>
  <c r="G12" i="7"/>
  <c r="J56" i="3"/>
  <c r="J13" i="5"/>
  <c r="E21" i="5"/>
  <c r="K21" i="5"/>
  <c r="L21" i="5"/>
  <c r="F5" i="8"/>
  <c r="F12" i="7"/>
  <c r="C7" i="4"/>
  <c r="D7" i="13"/>
  <c r="D8" i="13" s="1"/>
  <c r="D6" i="13"/>
  <c r="D54" i="3"/>
  <c r="C39" i="3"/>
  <c r="C9" i="5" s="1"/>
  <c r="L46" i="3"/>
  <c r="K6" i="5"/>
  <c r="K24" i="4"/>
  <c r="D17" i="3"/>
  <c r="D16" i="3"/>
  <c r="F8" i="8"/>
  <c r="H13" i="6"/>
  <c r="H24" i="4"/>
  <c r="H6" i="5"/>
  <c r="D5" i="8"/>
  <c r="D12" i="7"/>
  <c r="H6" i="13"/>
  <c r="H54" i="3"/>
  <c r="H55" i="3" s="1"/>
  <c r="H7" i="13"/>
  <c r="H8" i="13" s="1"/>
  <c r="H21" i="5"/>
  <c r="H22" i="5"/>
  <c r="L40" i="3"/>
  <c r="F7" i="13"/>
  <c r="F8" i="13" s="1"/>
  <c r="F6" i="13"/>
  <c r="F54" i="3"/>
  <c r="F55" i="3" s="1"/>
  <c r="C35" i="3"/>
  <c r="C41" i="3" s="1"/>
  <c r="J5" i="8"/>
  <c r="J12" i="7"/>
  <c r="G5" i="6"/>
  <c r="G35" i="13"/>
  <c r="G36" i="13" s="1"/>
  <c r="J22" i="5"/>
  <c r="C12" i="7"/>
  <c r="C5" i="8"/>
  <c r="D29" i="3"/>
  <c r="I5" i="8"/>
  <c r="I12" i="7"/>
  <c r="F11" i="11"/>
  <c r="G10" i="11"/>
  <c r="E6" i="5"/>
  <c r="E24" i="4"/>
  <c r="I6" i="9"/>
  <c r="F24" i="4"/>
  <c r="F6" i="5"/>
  <c r="J6" i="5"/>
  <c r="J24" i="4"/>
  <c r="D5" i="6"/>
  <c r="D35" i="13"/>
  <c r="D36" i="13" s="1"/>
  <c r="G7" i="13"/>
  <c r="G8" i="13" s="1"/>
  <c r="G54" i="3"/>
  <c r="G55" i="3" s="1"/>
  <c r="G6" i="13"/>
  <c r="G21" i="5"/>
  <c r="K40" i="3"/>
  <c r="F22" i="5"/>
  <c r="F21" i="5"/>
  <c r="I7" i="13"/>
  <c r="I8" i="13" s="1"/>
  <c r="I6" i="13"/>
  <c r="I54" i="3"/>
  <c r="C24" i="4"/>
  <c r="C6" i="5"/>
  <c r="K12" i="7"/>
  <c r="K5" i="8"/>
  <c r="L5" i="8"/>
  <c r="L12" i="7"/>
  <c r="E7" i="13"/>
  <c r="E8" i="13" s="1"/>
  <c r="E6" i="13"/>
  <c r="E54" i="3"/>
  <c r="E55" i="3" s="1"/>
  <c r="C22" i="5"/>
  <c r="C5" i="6" l="1"/>
  <c r="C35" i="13"/>
  <c r="C36" i="13" s="1"/>
  <c r="H56" i="3"/>
  <c r="H13" i="5"/>
  <c r="I55" i="3"/>
  <c r="I22" i="5"/>
  <c r="C10" i="5"/>
  <c r="C11" i="5"/>
  <c r="D55" i="3"/>
  <c r="D22" i="5"/>
  <c r="L6" i="5"/>
  <c r="L24" i="4"/>
  <c r="G6" i="9"/>
  <c r="H5" i="6"/>
  <c r="H35" i="13"/>
  <c r="H36" i="13" s="1"/>
  <c r="E15" i="3"/>
  <c r="L6" i="13"/>
  <c r="L7" i="13"/>
  <c r="L8" i="13" s="1"/>
  <c r="L54" i="3"/>
  <c r="K5" i="6"/>
  <c r="K35" i="13"/>
  <c r="K36" i="13" s="1"/>
  <c r="D6" i="9"/>
  <c r="F5" i="6"/>
  <c r="F35" i="13"/>
  <c r="F36" i="13" s="1"/>
  <c r="E5" i="6"/>
  <c r="E35" i="13"/>
  <c r="E36" i="13" s="1"/>
  <c r="H5" i="8"/>
  <c r="H12" i="7"/>
  <c r="C9" i="4"/>
  <c r="C8" i="14"/>
  <c r="C8" i="4"/>
  <c r="G13" i="5"/>
  <c r="G56" i="3"/>
  <c r="K7" i="13"/>
  <c r="K8" i="13" s="1"/>
  <c r="K6" i="13"/>
  <c r="K54" i="3"/>
  <c r="E56" i="3"/>
  <c r="E13" i="5"/>
  <c r="G22" i="5"/>
  <c r="H10" i="11"/>
  <c r="G11" i="11"/>
  <c r="D30" i="3"/>
  <c r="J5" i="6"/>
  <c r="J35" i="13"/>
  <c r="J36" i="13" s="1"/>
  <c r="F13" i="5"/>
  <c r="F56" i="3"/>
  <c r="D18" i="3"/>
  <c r="D21" i="3" s="1"/>
  <c r="D20" i="3"/>
  <c r="D7" i="9"/>
  <c r="E14" i="6"/>
  <c r="L5" i="6" l="1"/>
  <c r="L35" i="13"/>
  <c r="L36" i="13" s="1"/>
  <c r="J6" i="9"/>
  <c r="D32" i="3"/>
  <c r="D34" i="3"/>
  <c r="D6" i="4" s="1"/>
  <c r="D31" i="3"/>
  <c r="I13" i="5"/>
  <c r="I56" i="3"/>
  <c r="L55" i="3"/>
  <c r="L22" i="5"/>
  <c r="C23" i="4"/>
  <c r="C26" i="4" s="1"/>
  <c r="C10" i="4"/>
  <c r="C20" i="4"/>
  <c r="C32" i="5" s="1"/>
  <c r="C33" i="5" s="1"/>
  <c r="E17" i="3"/>
  <c r="E16" i="3"/>
  <c r="H11" i="11"/>
  <c r="I10" i="11"/>
  <c r="D13" i="5"/>
  <c r="D56" i="3"/>
  <c r="E7" i="9"/>
  <c r="F14" i="6"/>
  <c r="D5" i="4"/>
  <c r="D7" i="4" s="1"/>
  <c r="D39" i="3"/>
  <c r="D9" i="5" s="1"/>
  <c r="H6" i="9"/>
  <c r="K6" i="9"/>
  <c r="E6" i="9"/>
  <c r="C6" i="9"/>
  <c r="K55" i="3"/>
  <c r="K22" i="5"/>
  <c r="F6" i="9"/>
  <c r="L6" i="9" l="1"/>
  <c r="C5" i="5"/>
  <c r="C7" i="5" s="1"/>
  <c r="C14" i="5" s="1"/>
  <c r="C5" i="7" s="1"/>
  <c r="C6" i="6"/>
  <c r="C8" i="5"/>
  <c r="D10" i="5"/>
  <c r="D11" i="5"/>
  <c r="L13" i="5"/>
  <c r="L56" i="3"/>
  <c r="E29" i="3"/>
  <c r="D38" i="3"/>
  <c r="D6" i="14" s="1"/>
  <c r="K13" i="5"/>
  <c r="K56" i="3"/>
  <c r="C11" i="14"/>
  <c r="C34" i="5"/>
  <c r="C4" i="7"/>
  <c r="C28" i="4"/>
  <c r="C20" i="14" s="1"/>
  <c r="C14" i="14"/>
  <c r="C9" i="13"/>
  <c r="F7" i="9"/>
  <c r="G14" i="6"/>
  <c r="D35" i="3"/>
  <c r="D41" i="3" s="1"/>
  <c r="F15" i="3"/>
  <c r="I11" i="11"/>
  <c r="J10" i="11"/>
  <c r="C35" i="5"/>
  <c r="D8" i="4"/>
  <c r="D9" i="4" s="1"/>
  <c r="D8" i="14"/>
  <c r="E18" i="3"/>
  <c r="E21" i="3" s="1"/>
  <c r="E20" i="3"/>
  <c r="D23" i="4" l="1"/>
  <c r="D26" i="4" s="1"/>
  <c r="D10" i="4"/>
  <c r="D20" i="4"/>
  <c r="D32" i="5" s="1"/>
  <c r="D33" i="5" s="1"/>
  <c r="C7" i="6"/>
  <c r="C12" i="9" s="1"/>
  <c r="C9" i="7"/>
  <c r="J11" i="11"/>
  <c r="K10" i="11"/>
  <c r="F16" i="3"/>
  <c r="C6" i="7"/>
  <c r="G7" i="9"/>
  <c r="H14" i="6"/>
  <c r="E30" i="3"/>
  <c r="E5" i="4"/>
  <c r="C11" i="9"/>
  <c r="C10" i="7" l="1"/>
  <c r="C7" i="7"/>
  <c r="D4" i="7"/>
  <c r="D11" i="14"/>
  <c r="D27" i="4"/>
  <c r="D34" i="5"/>
  <c r="D28" i="4"/>
  <c r="D20" i="14" s="1"/>
  <c r="D14" i="14"/>
  <c r="D9" i="13"/>
  <c r="E32" i="3"/>
  <c r="E34" i="3"/>
  <c r="E31" i="3"/>
  <c r="H7" i="9"/>
  <c r="I14" i="6"/>
  <c r="F18" i="3"/>
  <c r="F21" i="3" s="1"/>
  <c r="F20" i="3"/>
  <c r="F17" i="3"/>
  <c r="K11" i="11"/>
  <c r="L10" i="11"/>
  <c r="L11" i="11" s="1"/>
  <c r="C8" i="6"/>
  <c r="C9" i="6" s="1"/>
  <c r="C6" i="8" s="1"/>
  <c r="D35" i="5"/>
  <c r="C13" i="9"/>
  <c r="D5" i="5"/>
  <c r="D8" i="5" s="1"/>
  <c r="D6" i="6"/>
  <c r="C10" i="13"/>
  <c r="I7" i="9" l="1"/>
  <c r="J14" i="6"/>
  <c r="C11" i="13"/>
  <c r="C12" i="13" s="1"/>
  <c r="C19" i="14" s="1"/>
  <c r="C13" i="13"/>
  <c r="E35" i="3"/>
  <c r="E41" i="3" s="1"/>
  <c r="F29" i="3"/>
  <c r="E38" i="3"/>
  <c r="E6" i="14" s="1"/>
  <c r="D11" i="9"/>
  <c r="D13" i="9" s="1"/>
  <c r="D8" i="6"/>
  <c r="D9" i="6" s="1"/>
  <c r="D6" i="8" s="1"/>
  <c r="D7" i="5"/>
  <c r="D14" i="5" s="1"/>
  <c r="D5" i="7" s="1"/>
  <c r="D6" i="7" s="1"/>
  <c r="D9" i="7"/>
  <c r="D7" i="6"/>
  <c r="D12" i="9" s="1"/>
  <c r="E6" i="4"/>
  <c r="E7" i="4" s="1"/>
  <c r="E39" i="3"/>
  <c r="E9" i="5" s="1"/>
  <c r="G15" i="3"/>
  <c r="C12" i="14"/>
  <c r="C37" i="13"/>
  <c r="C38" i="13" s="1"/>
  <c r="F5" i="4"/>
  <c r="C11" i="7"/>
  <c r="C13" i="14" s="1"/>
  <c r="C13" i="7"/>
  <c r="D10" i="7" l="1"/>
  <c r="D7" i="7"/>
  <c r="D10" i="13"/>
  <c r="C18" i="7"/>
  <c r="D16" i="7" s="1"/>
  <c r="C17" i="7"/>
  <c r="F30" i="3"/>
  <c r="E10" i="5"/>
  <c r="E11" i="5"/>
  <c r="K14" i="6"/>
  <c r="J7" i="9"/>
  <c r="E8" i="4"/>
  <c r="E9" i="4" s="1"/>
  <c r="E8" i="14"/>
  <c r="G16" i="3"/>
  <c r="E23" i="4" l="1"/>
  <c r="E26" i="4" s="1"/>
  <c r="E20" i="4"/>
  <c r="E32" i="5" s="1"/>
  <c r="E33" i="5" s="1"/>
  <c r="E10" i="4"/>
  <c r="L14" i="6"/>
  <c r="L7" i="9" s="1"/>
  <c r="K7" i="9"/>
  <c r="F32" i="3"/>
  <c r="F35" i="3" s="1"/>
  <c r="F41" i="3" s="1"/>
  <c r="F34" i="3"/>
  <c r="F31" i="3"/>
  <c r="C19" i="7"/>
  <c r="C20" i="7" s="1"/>
  <c r="C21" i="7" s="1"/>
  <c r="G18" i="3"/>
  <c r="G20" i="3"/>
  <c r="D13" i="13"/>
  <c r="D11" i="13"/>
  <c r="D12" i="13" s="1"/>
  <c r="D19" i="14" s="1"/>
  <c r="G17" i="3"/>
  <c r="D12" i="14"/>
  <c r="D37" i="13"/>
  <c r="D38" i="13" s="1"/>
  <c r="D13" i="7"/>
  <c r="D11" i="7"/>
  <c r="D13" i="14" s="1"/>
  <c r="C4" i="8" l="1"/>
  <c r="C7" i="8" s="1"/>
  <c r="C9" i="8" s="1"/>
  <c r="C17" i="9"/>
  <c r="G5" i="4"/>
  <c r="H15" i="3"/>
  <c r="G21" i="3"/>
  <c r="F6" i="4"/>
  <c r="F7" i="4" s="1"/>
  <c r="F39" i="3"/>
  <c r="F9" i="5" s="1"/>
  <c r="E5" i="5"/>
  <c r="E6" i="6"/>
  <c r="E8" i="5"/>
  <c r="E7" i="5"/>
  <c r="E14" i="5" s="1"/>
  <c r="E5" i="7" s="1"/>
  <c r="G29" i="3"/>
  <c r="F38" i="3"/>
  <c r="F6" i="14" s="1"/>
  <c r="D18" i="7"/>
  <c r="E16" i="7" s="1"/>
  <c r="D17" i="7"/>
  <c r="E4" i="7"/>
  <c r="E11" i="14"/>
  <c r="E28" i="4"/>
  <c r="E20" i="14" s="1"/>
  <c r="E27" i="4"/>
  <c r="E34" i="5"/>
  <c r="E35" i="5" s="1"/>
  <c r="E14" i="14"/>
  <c r="E9" i="13"/>
  <c r="E10" i="13" l="1"/>
  <c r="E7" i="6"/>
  <c r="E12" i="9" s="1"/>
  <c r="E9" i="7"/>
  <c r="G30" i="3"/>
  <c r="E11" i="9"/>
  <c r="E8" i="6"/>
  <c r="E9" i="6" s="1"/>
  <c r="E6" i="8" s="1"/>
  <c r="E6" i="7"/>
  <c r="H16" i="3"/>
  <c r="H17" i="3" s="1"/>
  <c r="D19" i="7"/>
  <c r="D20" i="7" s="1"/>
  <c r="D21" i="7" s="1"/>
  <c r="F9" i="4"/>
  <c r="F8" i="4"/>
  <c r="F8" i="14"/>
  <c r="C4" i="10"/>
  <c r="C10" i="8"/>
  <c r="C14" i="8"/>
  <c r="F11" i="5"/>
  <c r="F10" i="5"/>
  <c r="C18" i="9"/>
  <c r="C19" i="9" s="1"/>
  <c r="D4" i="8" l="1"/>
  <c r="D7" i="8" s="1"/>
  <c r="D9" i="8" s="1"/>
  <c r="D10" i="8" s="1"/>
  <c r="D17" i="9"/>
  <c r="I15" i="3"/>
  <c r="E13" i="13"/>
  <c r="E11" i="13"/>
  <c r="E12" i="13" s="1"/>
  <c r="E19" i="14" s="1"/>
  <c r="H18" i="3"/>
  <c r="H21" i="3" s="1"/>
  <c r="H20" i="3"/>
  <c r="E13" i="9"/>
  <c r="F10" i="4"/>
  <c r="F23" i="4"/>
  <c r="F26" i="4" s="1"/>
  <c r="F20" i="4"/>
  <c r="F32" i="5" s="1"/>
  <c r="F33" i="5" s="1"/>
  <c r="G32" i="3"/>
  <c r="G35" i="3" s="1"/>
  <c r="G41" i="3" s="1"/>
  <c r="G34" i="3"/>
  <c r="E7" i="7"/>
  <c r="E10" i="7"/>
  <c r="C8" i="10"/>
  <c r="C6" i="10"/>
  <c r="D13" i="8"/>
  <c r="C5" i="9"/>
  <c r="C8" i="9" s="1"/>
  <c r="C20" i="9" s="1"/>
  <c r="G31" i="3"/>
  <c r="D14" i="8" l="1"/>
  <c r="D5" i="9" s="1"/>
  <c r="D8" i="9" s="1"/>
  <c r="F28" i="4"/>
  <c r="F20" i="14" s="1"/>
  <c r="F4" i="7"/>
  <c r="F11" i="14"/>
  <c r="F34" i="5"/>
  <c r="F27" i="4"/>
  <c r="F9" i="13"/>
  <c r="F14" i="14"/>
  <c r="H5" i="4"/>
  <c r="G6" i="4"/>
  <c r="G7" i="4" s="1"/>
  <c r="G39" i="3"/>
  <c r="G9" i="5" s="1"/>
  <c r="F35" i="5"/>
  <c r="F5" i="5"/>
  <c r="F8" i="5" s="1"/>
  <c r="F7" i="5"/>
  <c r="F6" i="6"/>
  <c r="H29" i="3"/>
  <c r="G38" i="3"/>
  <c r="G6" i="14" s="1"/>
  <c r="D18" i="9"/>
  <c r="D19" i="9" s="1"/>
  <c r="I16" i="3"/>
  <c r="E13" i="7"/>
  <c r="E11" i="7"/>
  <c r="E13" i="14" s="1"/>
  <c r="E12" i="14"/>
  <c r="E37" i="13"/>
  <c r="E38" i="13" s="1"/>
  <c r="D4" i="10"/>
  <c r="E13" i="8" l="1"/>
  <c r="F11" i="9"/>
  <c r="F8" i="6"/>
  <c r="F9" i="6" s="1"/>
  <c r="F6" i="8" s="1"/>
  <c r="I18" i="3"/>
  <c r="I20" i="3"/>
  <c r="F7" i="6"/>
  <c r="F12" i="9" s="1"/>
  <c r="F9" i="7"/>
  <c r="D20" i="9"/>
  <c r="G11" i="5"/>
  <c r="G10" i="5"/>
  <c r="F14" i="5"/>
  <c r="F5" i="7" s="1"/>
  <c r="F6" i="7" s="1"/>
  <c r="G8" i="14"/>
  <c r="G8" i="4"/>
  <c r="G9" i="4" s="1"/>
  <c r="D8" i="10"/>
  <c r="D6" i="10"/>
  <c r="E18" i="7"/>
  <c r="F16" i="7" s="1"/>
  <c r="E17" i="7"/>
  <c r="I17" i="3"/>
  <c r="H30" i="3"/>
  <c r="G23" i="4" l="1"/>
  <c r="G26" i="4" s="1"/>
  <c r="G20" i="4"/>
  <c r="G32" i="5" s="1"/>
  <c r="G33" i="5" s="1"/>
  <c r="G10" i="4"/>
  <c r="F7" i="7"/>
  <c r="F10" i="7"/>
  <c r="F10" i="13"/>
  <c r="H32" i="3"/>
  <c r="H34" i="3"/>
  <c r="J15" i="3"/>
  <c r="E19" i="7"/>
  <c r="E20" i="7"/>
  <c r="E21" i="7" s="1"/>
  <c r="I5" i="4"/>
  <c r="I21" i="3"/>
  <c r="F13" i="9"/>
  <c r="H31" i="3"/>
  <c r="H35" i="3" l="1"/>
  <c r="H41" i="3" s="1"/>
  <c r="F13" i="13"/>
  <c r="F11" i="13"/>
  <c r="F12" i="13" s="1"/>
  <c r="F19" i="14" s="1"/>
  <c r="F13" i="7"/>
  <c r="F11" i="7"/>
  <c r="F13" i="14" s="1"/>
  <c r="I29" i="3"/>
  <c r="H38" i="3"/>
  <c r="H6" i="14" s="1"/>
  <c r="F12" i="14"/>
  <c r="F37" i="13"/>
  <c r="F38" i="13" s="1"/>
  <c r="G5" i="5"/>
  <c r="G6" i="6"/>
  <c r="G7" i="5"/>
  <c r="G14" i="5" s="1"/>
  <c r="G5" i="7" s="1"/>
  <c r="G8" i="5"/>
  <c r="E4" i="8"/>
  <c r="E7" i="8" s="1"/>
  <c r="E9" i="8" s="1"/>
  <c r="E17" i="9"/>
  <c r="J16" i="3"/>
  <c r="J17" i="3" s="1"/>
  <c r="H6" i="4"/>
  <c r="H7" i="4" s="1"/>
  <c r="H39" i="3"/>
  <c r="H9" i="5" s="1"/>
  <c r="G11" i="14"/>
  <c r="G34" i="5"/>
  <c r="G35" i="5" s="1"/>
  <c r="G28" i="4"/>
  <c r="G20" i="14" s="1"/>
  <c r="G27" i="4"/>
  <c r="G4" i="7"/>
  <c r="G9" i="13"/>
  <c r="G14" i="14"/>
  <c r="K15" i="3" l="1"/>
  <c r="G7" i="6"/>
  <c r="G12" i="9" s="1"/>
  <c r="G9" i="7"/>
  <c r="G11" i="9"/>
  <c r="G13" i="9" s="1"/>
  <c r="G8" i="6"/>
  <c r="G9" i="6" s="1"/>
  <c r="G6" i="8" s="1"/>
  <c r="I30" i="3"/>
  <c r="H8" i="14"/>
  <c r="H8" i="4"/>
  <c r="H9" i="4" s="1"/>
  <c r="G6" i="7"/>
  <c r="H11" i="5"/>
  <c r="H10" i="5"/>
  <c r="J18" i="3"/>
  <c r="J21" i="3" s="1"/>
  <c r="J20" i="3"/>
  <c r="F18" i="7"/>
  <c r="G16" i="7" s="1"/>
  <c r="F17" i="7"/>
  <c r="E4" i="10"/>
  <c r="E10" i="8"/>
  <c r="E14" i="8"/>
  <c r="E18" i="9"/>
  <c r="E19" i="9" s="1"/>
  <c r="H23" i="4" l="1"/>
  <c r="H26" i="4" s="1"/>
  <c r="H20" i="4"/>
  <c r="H32" i="5" s="1"/>
  <c r="H33" i="5" s="1"/>
  <c r="H10" i="4"/>
  <c r="G7" i="7"/>
  <c r="G10" i="7"/>
  <c r="I32" i="3"/>
  <c r="I35" i="3" s="1"/>
  <c r="I41" i="3" s="1"/>
  <c r="I34" i="3"/>
  <c r="I31" i="3"/>
  <c r="G10" i="13"/>
  <c r="E5" i="9"/>
  <c r="E8" i="9" s="1"/>
  <c r="E20" i="9" s="1"/>
  <c r="F13" i="8"/>
  <c r="E8" i="10"/>
  <c r="E6" i="10"/>
  <c r="F19" i="7"/>
  <c r="F20" i="7"/>
  <c r="F21" i="7" s="1"/>
  <c r="K16" i="3"/>
  <c r="J5" i="4"/>
  <c r="H35" i="5" l="1"/>
  <c r="G13" i="13"/>
  <c r="G11" i="13"/>
  <c r="G12" i="13" s="1"/>
  <c r="G19" i="14" s="1"/>
  <c r="J29" i="3"/>
  <c r="I38" i="3"/>
  <c r="I6" i="14" s="1"/>
  <c r="F4" i="8"/>
  <c r="F7" i="8" s="1"/>
  <c r="F9" i="8" s="1"/>
  <c r="F14" i="8" s="1"/>
  <c r="F17" i="9"/>
  <c r="I6" i="4"/>
  <c r="I7" i="4" s="1"/>
  <c r="I39" i="3"/>
  <c r="I9" i="5" s="1"/>
  <c r="G11" i="7"/>
  <c r="G13" i="14" s="1"/>
  <c r="G13" i="7"/>
  <c r="H34" i="5"/>
  <c r="H11" i="14"/>
  <c r="H28" i="4"/>
  <c r="H20" i="14" s="1"/>
  <c r="H27" i="4"/>
  <c r="H14" i="14"/>
  <c r="H4" i="7"/>
  <c r="H9" i="13"/>
  <c r="K18" i="3"/>
  <c r="K20" i="3"/>
  <c r="G12" i="14"/>
  <c r="G37" i="13"/>
  <c r="G38" i="13" s="1"/>
  <c r="K17" i="3"/>
  <c r="H8" i="5"/>
  <c r="H7" i="5"/>
  <c r="H14" i="5" s="1"/>
  <c r="H5" i="7" s="1"/>
  <c r="H6" i="6"/>
  <c r="H5" i="5"/>
  <c r="F5" i="9" l="1"/>
  <c r="F8" i="9" s="1"/>
  <c r="G13" i="8"/>
  <c r="G18" i="7"/>
  <c r="H16" i="7" s="1"/>
  <c r="G17" i="7"/>
  <c r="L15" i="3"/>
  <c r="I11" i="5"/>
  <c r="I10" i="5"/>
  <c r="K5" i="4"/>
  <c r="K21" i="3"/>
  <c r="H11" i="9"/>
  <c r="H13" i="9" s="1"/>
  <c r="H8" i="6"/>
  <c r="H9" i="6" s="1"/>
  <c r="H6" i="8" s="1"/>
  <c r="J31" i="3"/>
  <c r="J30" i="3"/>
  <c r="I8" i="14"/>
  <c r="I8" i="4"/>
  <c r="I9" i="4"/>
  <c r="H6" i="7"/>
  <c r="H9" i="7"/>
  <c r="H7" i="6"/>
  <c r="H12" i="9" s="1"/>
  <c r="F18" i="9"/>
  <c r="F19" i="9" s="1"/>
  <c r="F4" i="10"/>
  <c r="F10" i="8"/>
  <c r="F20" i="9" l="1"/>
  <c r="F8" i="10"/>
  <c r="F6" i="10"/>
  <c r="K29" i="3"/>
  <c r="J38" i="3"/>
  <c r="J6" i="14" s="1"/>
  <c r="L16" i="3"/>
  <c r="H10" i="7"/>
  <c r="H7" i="7"/>
  <c r="H10" i="13"/>
  <c r="G19" i="7"/>
  <c r="G20" i="7" s="1"/>
  <c r="G21" i="7" s="1"/>
  <c r="I20" i="4"/>
  <c r="I32" i="5" s="1"/>
  <c r="I33" i="5" s="1"/>
  <c r="I23" i="4"/>
  <c r="I26" i="4" s="1"/>
  <c r="I10" i="4"/>
  <c r="J32" i="3"/>
  <c r="J35" i="3" s="1"/>
  <c r="J41" i="3" s="1"/>
  <c r="J34" i="3"/>
  <c r="G4" i="8" l="1"/>
  <c r="G7" i="8" s="1"/>
  <c r="G9" i="8" s="1"/>
  <c r="G17" i="9"/>
  <c r="H13" i="13"/>
  <c r="H11" i="13"/>
  <c r="H12" i="13" s="1"/>
  <c r="H19" i="14" s="1"/>
  <c r="H12" i="14"/>
  <c r="H37" i="13"/>
  <c r="H38" i="13" s="1"/>
  <c r="H11" i="7"/>
  <c r="H13" i="14" s="1"/>
  <c r="H13" i="7"/>
  <c r="L18" i="3"/>
  <c r="L20" i="3"/>
  <c r="L17" i="3"/>
  <c r="J6" i="4"/>
  <c r="J7" i="4" s="1"/>
  <c r="J39" i="3"/>
  <c r="J9" i="5" s="1"/>
  <c r="K30" i="3"/>
  <c r="I8" i="5"/>
  <c r="I6" i="6"/>
  <c r="I5" i="5"/>
  <c r="I7" i="5" s="1"/>
  <c r="I14" i="5" s="1"/>
  <c r="I5" i="7" s="1"/>
  <c r="I34" i="5"/>
  <c r="I11" i="14"/>
  <c r="I4" i="7"/>
  <c r="I28" i="4"/>
  <c r="I20" i="14" s="1"/>
  <c r="I9" i="13"/>
  <c r="I27" i="4"/>
  <c r="I14" i="14"/>
  <c r="B81" i="15" s="1"/>
  <c r="B82" i="15" s="1"/>
  <c r="I35" i="5"/>
  <c r="J11" i="5" l="1"/>
  <c r="J10" i="5"/>
  <c r="K32" i="3"/>
  <c r="K34" i="3"/>
  <c r="K31" i="3"/>
  <c r="L21" i="3"/>
  <c r="I9" i="7"/>
  <c r="I7" i="6"/>
  <c r="I12" i="9" s="1"/>
  <c r="L5" i="4"/>
  <c r="H18" i="7"/>
  <c r="I16" i="7" s="1"/>
  <c r="H17" i="7"/>
  <c r="I6" i="7"/>
  <c r="J8" i="14"/>
  <c r="J8" i="4"/>
  <c r="J9" i="4" s="1"/>
  <c r="I11" i="9"/>
  <c r="G18" i="9"/>
  <c r="G19" i="9" s="1"/>
  <c r="G4" i="10"/>
  <c r="G14" i="8"/>
  <c r="G10" i="8"/>
  <c r="J10" i="4" l="1"/>
  <c r="J23" i="4"/>
  <c r="J26" i="4" s="1"/>
  <c r="J20" i="4"/>
  <c r="J32" i="5" s="1"/>
  <c r="J33" i="5" s="1"/>
  <c r="I7" i="7"/>
  <c r="I10" i="7"/>
  <c r="I10" i="13"/>
  <c r="G8" i="10"/>
  <c r="G6" i="10"/>
  <c r="H19" i="7"/>
  <c r="H20" i="7" s="1"/>
  <c r="H21" i="7" s="1"/>
  <c r="L29" i="3"/>
  <c r="K38" i="3"/>
  <c r="K6" i="14" s="1"/>
  <c r="G5" i="9"/>
  <c r="G8" i="9" s="1"/>
  <c r="G20" i="9" s="1"/>
  <c r="H13" i="8"/>
  <c r="I8" i="6"/>
  <c r="I9" i="6" s="1"/>
  <c r="I6" i="8" s="1"/>
  <c r="K6" i="4"/>
  <c r="K7" i="4" s="1"/>
  <c r="K39" i="3"/>
  <c r="K9" i="5" s="1"/>
  <c r="I13" i="9"/>
  <c r="K35" i="3"/>
  <c r="K41" i="3" s="1"/>
  <c r="H4" i="8" l="1"/>
  <c r="H7" i="8" s="1"/>
  <c r="H9" i="8" s="1"/>
  <c r="H17" i="9"/>
  <c r="L30" i="3"/>
  <c r="K8" i="14"/>
  <c r="K8" i="4"/>
  <c r="K9" i="4" s="1"/>
  <c r="I11" i="7"/>
  <c r="I13" i="14" s="1"/>
  <c r="I13" i="7"/>
  <c r="K11" i="5"/>
  <c r="K10" i="5"/>
  <c r="I13" i="13"/>
  <c r="I11" i="13"/>
  <c r="I12" i="13" s="1"/>
  <c r="I19" i="14" s="1"/>
  <c r="I12" i="14"/>
  <c r="I37" i="13"/>
  <c r="I38" i="13" s="1"/>
  <c r="H14" i="8"/>
  <c r="J27" i="4"/>
  <c r="J4" i="7"/>
  <c r="J34" i="5"/>
  <c r="J35" i="5" s="1"/>
  <c r="J11" i="14"/>
  <c r="J28" i="4"/>
  <c r="J20" i="14" s="1"/>
  <c r="J9" i="13"/>
  <c r="J14" i="14"/>
  <c r="J6" i="6"/>
  <c r="J5" i="5"/>
  <c r="J7" i="5" s="1"/>
  <c r="J14" i="5" l="1"/>
  <c r="J5" i="7" s="1"/>
  <c r="J6" i="7" s="1"/>
  <c r="J9" i="7"/>
  <c r="J7" i="6"/>
  <c r="J12" i="9" s="1"/>
  <c r="K10" i="4"/>
  <c r="K20" i="4"/>
  <c r="K32" i="5" s="1"/>
  <c r="K33" i="5" s="1"/>
  <c r="K23" i="4"/>
  <c r="K26" i="4" s="1"/>
  <c r="J8" i="5"/>
  <c r="I17" i="7"/>
  <c r="I18" i="7"/>
  <c r="J16" i="7" s="1"/>
  <c r="J11" i="9"/>
  <c r="L32" i="3"/>
  <c r="L34" i="3"/>
  <c r="L31" i="3"/>
  <c r="L38" i="3" s="1"/>
  <c r="L6" i="14" s="1"/>
  <c r="H18" i="9"/>
  <c r="H19" i="9" s="1"/>
  <c r="I13" i="8"/>
  <c r="H5" i="9"/>
  <c r="H8" i="9" s="1"/>
  <c r="H20" i="9" s="1"/>
  <c r="H4" i="10"/>
  <c r="H10" i="8"/>
  <c r="J7" i="7" l="1"/>
  <c r="J10" i="7"/>
  <c r="J10" i="13"/>
  <c r="L6" i="4"/>
  <c r="L7" i="4" s="1"/>
  <c r="L39" i="3"/>
  <c r="L9" i="5" s="1"/>
  <c r="L35" i="3"/>
  <c r="L41" i="3" s="1"/>
  <c r="K6" i="6"/>
  <c r="K8" i="5"/>
  <c r="K5" i="5"/>
  <c r="K7" i="5"/>
  <c r="J8" i="6"/>
  <c r="J9" i="6" s="1"/>
  <c r="J6" i="8" s="1"/>
  <c r="J13" i="9"/>
  <c r="I19" i="7"/>
  <c r="I20" i="7" s="1"/>
  <c r="I21" i="7" s="1"/>
  <c r="K4" i="7"/>
  <c r="K28" i="4"/>
  <c r="K20" i="14" s="1"/>
  <c r="K11" i="14"/>
  <c r="K34" i="5"/>
  <c r="K27" i="4"/>
  <c r="K9" i="13"/>
  <c r="K14" i="14"/>
  <c r="H6" i="10"/>
  <c r="H8" i="10"/>
  <c r="K35" i="5"/>
  <c r="I4" i="8" l="1"/>
  <c r="I7" i="8" s="1"/>
  <c r="I9" i="8" s="1"/>
  <c r="I17" i="9"/>
  <c r="K14" i="5"/>
  <c r="K5" i="7" s="1"/>
  <c r="K6" i="7" s="1"/>
  <c r="K11" i="9"/>
  <c r="J13" i="13"/>
  <c r="J11" i="13"/>
  <c r="J12" i="13" s="1"/>
  <c r="J19" i="14" s="1"/>
  <c r="K9" i="7"/>
  <c r="K7" i="6"/>
  <c r="K12" i="9" s="1"/>
  <c r="L11" i="5"/>
  <c r="L10" i="5"/>
  <c r="J13" i="7"/>
  <c r="J11" i="7"/>
  <c r="J13" i="14" s="1"/>
  <c r="L8" i="14"/>
  <c r="L8" i="4"/>
  <c r="L9" i="4" s="1"/>
  <c r="J12" i="14"/>
  <c r="J37" i="13"/>
  <c r="J38" i="13" s="1"/>
  <c r="L20" i="4" l="1"/>
  <c r="L32" i="5" s="1"/>
  <c r="L33" i="5" s="1"/>
  <c r="L10" i="4"/>
  <c r="L23" i="4"/>
  <c r="L26" i="4" s="1"/>
  <c r="K7" i="7"/>
  <c r="K10" i="7"/>
  <c r="K10" i="13"/>
  <c r="J18" i="7"/>
  <c r="K16" i="7" s="1"/>
  <c r="J17" i="7"/>
  <c r="K8" i="6"/>
  <c r="K9" i="6" s="1"/>
  <c r="K6" i="8" s="1"/>
  <c r="K13" i="9"/>
  <c r="I18" i="9"/>
  <c r="I19" i="9" s="1"/>
  <c r="I4" i="10"/>
  <c r="I14" i="8"/>
  <c r="I10" i="8"/>
  <c r="C21" i="10" l="1"/>
  <c r="C22" i="10" s="1"/>
  <c r="C23" i="10" s="1"/>
  <c r="L34" i="5"/>
  <c r="L11" i="14"/>
  <c r="L28" i="4"/>
  <c r="L20" i="14" s="1"/>
  <c r="L27" i="4"/>
  <c r="L4" i="7"/>
  <c r="L9" i="13"/>
  <c r="L14" i="14"/>
  <c r="I6" i="10"/>
  <c r="I8" i="10"/>
  <c r="J19" i="7"/>
  <c r="J20" i="7" s="1"/>
  <c r="J21" i="7" s="1"/>
  <c r="L35" i="5"/>
  <c r="K13" i="13"/>
  <c r="K11" i="13"/>
  <c r="K12" i="13" s="1"/>
  <c r="K19" i="14" s="1"/>
  <c r="L5" i="5"/>
  <c r="L8" i="5" s="1"/>
  <c r="L6" i="6"/>
  <c r="L7" i="5"/>
  <c r="J13" i="8"/>
  <c r="I5" i="9"/>
  <c r="I8" i="9" s="1"/>
  <c r="I20" i="9" s="1"/>
  <c r="K11" i="7"/>
  <c r="K13" i="14" s="1"/>
  <c r="K13" i="7"/>
  <c r="K12" i="14"/>
  <c r="K37" i="13"/>
  <c r="K38" i="13" s="1"/>
  <c r="J4" i="8" l="1"/>
  <c r="J7" i="8" s="1"/>
  <c r="J9" i="8" s="1"/>
  <c r="J14" i="8" s="1"/>
  <c r="J17" i="9"/>
  <c r="L9" i="7"/>
  <c r="L7" i="6"/>
  <c r="L12" i="9" s="1"/>
  <c r="K18" i="7"/>
  <c r="L16" i="7" s="1"/>
  <c r="K17" i="7"/>
  <c r="L14" i="5"/>
  <c r="L5" i="7" s="1"/>
  <c r="L6" i="7" s="1"/>
  <c r="L11" i="9"/>
  <c r="J5" i="9" l="1"/>
  <c r="J8" i="9" s="1"/>
  <c r="K13" i="8"/>
  <c r="L7" i="7"/>
  <c r="L10" i="7"/>
  <c r="L10" i="13"/>
  <c r="J18" i="9"/>
  <c r="J19" i="9" s="1"/>
  <c r="L13" i="9"/>
  <c r="K19" i="7"/>
  <c r="K20" i="7" s="1"/>
  <c r="K21" i="7" s="1"/>
  <c r="L8" i="6"/>
  <c r="L9" i="6" s="1"/>
  <c r="L6" i="8" s="1"/>
  <c r="J4" i="10"/>
  <c r="J10" i="8"/>
  <c r="K4" i="8" l="1"/>
  <c r="K7" i="8" s="1"/>
  <c r="K9" i="8" s="1"/>
  <c r="K17" i="9"/>
  <c r="L11" i="7"/>
  <c r="L13" i="14" s="1"/>
  <c r="L13" i="7"/>
  <c r="L13" i="13"/>
  <c r="L11" i="13"/>
  <c r="L12" i="13" s="1"/>
  <c r="L19" i="14" s="1"/>
  <c r="L12" i="14"/>
  <c r="L37" i="13"/>
  <c r="L38" i="13" s="1"/>
  <c r="J8" i="10"/>
  <c r="J6" i="10"/>
  <c r="J20" i="9"/>
  <c r="K4" i="10" l="1"/>
  <c r="K14" i="8"/>
  <c r="L18" i="7"/>
  <c r="L17" i="7"/>
  <c r="K10" i="8"/>
  <c r="K18" i="9"/>
  <c r="K19" i="9" s="1"/>
  <c r="K5" i="9" l="1"/>
  <c r="K8" i="9" s="1"/>
  <c r="K20" i="9" s="1"/>
  <c r="L13" i="8"/>
  <c r="K8" i="10"/>
  <c r="K6" i="10"/>
  <c r="L19" i="7"/>
  <c r="L20" i="7" s="1"/>
  <c r="L21" i="7" s="1"/>
  <c r="L4" i="8" l="1"/>
  <c r="L7" i="8" s="1"/>
  <c r="L9" i="8" s="1"/>
  <c r="L14" i="8" s="1"/>
  <c r="L5" i="9" s="1"/>
  <c r="L8" i="9" s="1"/>
  <c r="L17" i="9"/>
  <c r="L18" i="9" s="1"/>
  <c r="L19" i="9" s="1"/>
  <c r="L20" i="9" l="1"/>
  <c r="L4" i="10"/>
  <c r="D31" i="10"/>
  <c r="H29" i="10"/>
  <c r="F27" i="10"/>
  <c r="F28" i="10"/>
  <c r="G29" i="10"/>
  <c r="F29" i="10"/>
  <c r="D29" i="10"/>
  <c r="F30" i="10"/>
  <c r="C28" i="10"/>
  <c r="E30" i="10"/>
  <c r="F31" i="10"/>
  <c r="E27" i="10"/>
  <c r="H30" i="10"/>
  <c r="H28" i="10"/>
  <c r="D27" i="10"/>
  <c r="G30" i="10"/>
  <c r="D30" i="10"/>
  <c r="E29" i="10"/>
  <c r="C27" i="10"/>
  <c r="E31" i="10"/>
  <c r="G27" i="10"/>
  <c r="H31" i="10"/>
  <c r="E28" i="10"/>
  <c r="C30" i="10"/>
  <c r="D28" i="10"/>
  <c r="C29" i="10"/>
  <c r="G31" i="10"/>
  <c r="C31" i="10"/>
  <c r="G28" i="10"/>
  <c r="H27" i="10"/>
  <c r="L10" i="8"/>
  <c r="L6" i="10" l="1"/>
  <c r="C10" i="10" s="1"/>
  <c r="C11" i="10"/>
  <c r="C12" i="10" s="1"/>
  <c r="C17" i="10"/>
  <c r="C16" i="10"/>
  <c r="C13" i="10" l="1"/>
  <c r="L8" i="10"/>
  <c r="C18" i="10" s="1"/>
</calcChain>
</file>

<file path=xl/sharedStrings.xml><?xml version="1.0" encoding="utf-8"?>
<sst xmlns="http://schemas.openxmlformats.org/spreadsheetml/2006/main" count="1496" uniqueCount="986">
  <si>
    <t>Stride: Financial Model</t>
  </si>
  <si>
    <t>10-year operating model, three statements, and a valuation. EUR. Y1 = 2027.</t>
  </si>
  <si>
    <t>COLOUR CODE</t>
  </si>
  <si>
    <t xml:space="preserve">  LIGHT BLUE</t>
  </si>
  <si>
    <t>Estimated input</t>
  </si>
  <si>
    <t xml:space="preserve">  LIGHT YELLOW</t>
  </si>
  <si>
    <t>Sourced input (Stripe pricing, Spanish tax law, AWS list)</t>
  </si>
  <si>
    <t xml:space="preserve">  WHITE</t>
  </si>
  <si>
    <t>Computed formula</t>
  </si>
  <si>
    <t xml:space="preserve">  LIGHT GREEN</t>
  </si>
  <si>
    <t>Dependent value, pulled from another sheet or from the one input at the head of its row</t>
  </si>
  <si>
    <t xml:space="preserve">  LIGHT GREY</t>
  </si>
  <si>
    <t>Total or subtotal</t>
  </si>
  <si>
    <t xml:space="preserve">  LIGHT RED</t>
  </si>
  <si>
    <t>The balance-sheet check, which must read zero</t>
  </si>
  <si>
    <t>SHEETS</t>
  </si>
  <si>
    <t>INPUTS</t>
  </si>
  <si>
    <t>Assumptions</t>
  </si>
  <si>
    <t>Every input and assumption taken into consideration</t>
  </si>
  <si>
    <t>BUILD-UP</t>
  </si>
  <si>
    <t>Drivers</t>
  </si>
  <si>
    <t>Athletes and fans, including monthly cohort churn</t>
  </si>
  <si>
    <t>Revenue</t>
  </si>
  <si>
    <t>GMV and net revenue, stream by stream</t>
  </si>
  <si>
    <t>Costs</t>
  </si>
  <si>
    <t>COGS and operating costs, line by line</t>
  </si>
  <si>
    <t>WorkingCap</t>
  </si>
  <si>
    <t>Receivables, payables, athlete float, capex, D&amp;A</t>
  </si>
  <si>
    <t>THE THREE FINANCIAL STATEMENTS</t>
  </si>
  <si>
    <t>P&amp;L</t>
  </si>
  <si>
    <t>Income statement</t>
  </si>
  <si>
    <t>CashFlow</t>
  </si>
  <si>
    <t>Cash flow statement, indirect method, tying to closing cash</t>
  </si>
  <si>
    <t>BalanceSheet</t>
  </si>
  <si>
    <t>Balance sheet, with an explicit check row so it must balance</t>
  </si>
  <si>
    <t>VALUATION AND FUNDING</t>
  </si>
  <si>
    <t>Valuation</t>
  </si>
  <si>
    <t>DCF, NPV, IRR, exit multiples, sensitivity</t>
  </si>
  <si>
    <t>Funding</t>
  </si>
  <si>
    <t>Funding rounds, dilution, ownership shares</t>
  </si>
  <si>
    <t>OPERATING PLANS</t>
  </si>
  <si>
    <t>HiringPlan</t>
  </si>
  <si>
    <t>Headcount by role, at Spanish loaded salaries</t>
  </si>
  <si>
    <t>CAC_CLV</t>
  </si>
  <si>
    <t>Acquisition cost against lifetime value</t>
  </si>
  <si>
    <t>KPIs</t>
  </si>
  <si>
    <t>Scale, quality of revenue, efficiency</t>
  </si>
  <si>
    <t>APPENDIX: RESEARCH AND MODELLING</t>
  </si>
  <si>
    <t>Comparables</t>
  </si>
  <si>
    <t>Published facts about Patreon, Passes and agents. The benchmarking source</t>
  </si>
  <si>
    <t>MarketModel</t>
  </si>
  <si>
    <t>Modelled assumptions, per market dynamics</t>
  </si>
  <si>
    <t>Research</t>
  </si>
  <si>
    <t>Where each baseline assumption came from, and how confident it is</t>
  </si>
  <si>
    <t>Line</t>
  </si>
  <si>
    <t>Unit</t>
  </si>
  <si>
    <t>Y1</t>
  </si>
  <si>
    <t>Y2</t>
  </si>
  <si>
    <t>Y3</t>
  </si>
  <si>
    <t>Y4</t>
  </si>
  <si>
    <t>Y5</t>
  </si>
  <si>
    <t>Y6</t>
  </si>
  <si>
    <t>Y7</t>
  </si>
  <si>
    <t>Y8</t>
  </si>
  <si>
    <t>Y9</t>
  </si>
  <si>
    <t>Y10</t>
  </si>
  <si>
    <t>MARKET: the plan's shape</t>
  </si>
  <si>
    <t>Active athletes (year end)</t>
  </si>
  <si>
    <t>count</t>
  </si>
  <si>
    <t>Niche share of athletes</t>
  </si>
  <si>
    <t>%</t>
  </si>
  <si>
    <t>Athletes needed for full SaaS value</t>
  </si>
  <si>
    <t>Below this, sponsor conversion scales with supply, a matching product is worth nothing against an empty directory</t>
  </si>
  <si>
    <t>SEGMENT: NICHE</t>
  </si>
  <si>
    <t>Monetising athletes (niche)</t>
  </si>
  <si>
    <t>% of segment</t>
  </si>
  <si>
    <t>Paying fans per monetising athlete (niche)</t>
  </si>
  <si>
    <t>derived on MarketModel from Patreon members-per-creator</t>
  </si>
  <si>
    <t>Fan ARPU per month (niche)</t>
  </si>
  <si>
    <t>EUR</t>
  </si>
  <si>
    <t>derived on MarketModel from our tier mix, cross-checked against Patreon</t>
  </si>
  <si>
    <t>Fan churn per month (niche)</t>
  </si>
  <si>
    <t>derived on MarketModel from Patreon churn and our annual-plan mix</t>
  </si>
  <si>
    <t>Athlete churn per year (niche)</t>
  </si>
  <si>
    <t>Max new fans per athlete per year (niche)</t>
  </si>
  <si>
    <t>capacity ceiling</t>
  </si>
  <si>
    <t>An audience is finite; without this ceiling higher churn RAISES revenue</t>
  </si>
  <si>
    <t>Athletes landing a deal (niche)</t>
  </si>
  <si>
    <t>Deals per dealing athlete (niche)</t>
  </si>
  <si>
    <t>Average deal value (niche)</t>
  </si>
  <si>
    <t>Athlete CAC (niche)</t>
  </si>
  <si>
    <t>SEGMENT: POPULAR</t>
  </si>
  <si>
    <t>Monetising athletes (popular)</t>
  </si>
  <si>
    <t>Paying fans per monetising athlete (popular)</t>
  </si>
  <si>
    <t>Fan ARPU per month (popular)</t>
  </si>
  <si>
    <t>Fan churn per month (popular)</t>
  </si>
  <si>
    <t>Athlete churn per year (popular)</t>
  </si>
  <si>
    <t>Max new fans per athlete per year (popular)</t>
  </si>
  <si>
    <t>Athletes landing a deal (popular)</t>
  </si>
  <si>
    <t>Deals per dealing athlete (popular)</t>
  </si>
  <si>
    <t>Average deal value (popular)</t>
  </si>
  <si>
    <t>Athlete CAC (popular)</t>
  </si>
  <si>
    <t>SPONSORS</t>
  </si>
  <si>
    <t>Registered sponsors</t>
  </si>
  <si>
    <t>Share on a paid plan</t>
  </si>
  <si>
    <t>Sponsor plan ARPU per month</t>
  </si>
  <si>
    <t>Sponsor CAC</t>
  </si>
  <si>
    <t>TAKE RATES &amp; PAYMENT RAILS</t>
  </si>
  <si>
    <t>Take rate: fan revenue</t>
  </si>
  <si>
    <t>Our pricing decision. OnlyFans/Fansly/Fanfix 20%, Passes 10% + $29/mo</t>
  </si>
  <si>
    <t>Take rate: sponsorship, base</t>
  </si>
  <si>
    <t>Free and Starter plans. Agents take 10-20% of an endorsement</t>
  </si>
  <si>
    <t>Take rate: sponsorship, Scout Pro</t>
  </si>
  <si>
    <t>A sponsor paying for the tooling pays less on the deal</t>
  </si>
  <si>
    <t>Take rate: sponsorship, Scout Agency</t>
  </si>
  <si>
    <t>The most committed tier. Half what an agent charges at the low end</t>
  </si>
  <si>
    <t>Subscriber deal volume, multiple of average</t>
  </si>
  <si>
    <t>x</t>
  </si>
  <si>
    <t>Subscribers buy campaign capacity, so they run more volume than the average sponsor. The only estimate in the tiering</t>
  </si>
  <si>
    <t>Scout Starter price</t>
  </si>
  <si>
    <t>EUR/mo</t>
  </si>
  <si>
    <t>Scout Pro price</t>
  </si>
  <si>
    <t>Scout Agency price</t>
  </si>
  <si>
    <t>VAT on fan subscriptions</t>
  </si>
  <si>
    <t>Spain's rate. Fan prices are displayed VAT-inclusive, so the take applies to price/(1+VAT) while the processor charges on the price</t>
  </si>
  <si>
    <t>PPV &amp; tips as multiple of subs</t>
  </si>
  <si>
    <t>PSP percentage fee</t>
  </si>
  <si>
    <t>Stripe published pricing</t>
  </si>
  <si>
    <t>PSP fixed fee per transaction</t>
  </si>
  <si>
    <t>Stripe. The single most damaging cost at small ticket sizes</t>
  </si>
  <si>
    <t>Payout percentage fee</t>
  </si>
  <si>
    <t>Stripe Connect</t>
  </si>
  <si>
    <t>Payout fixed fee</t>
  </si>
  <si>
    <t>Average fan transaction</t>
  </si>
  <si>
    <t>Average deal transaction</t>
  </si>
  <si>
    <t>INFRASTRUCTURE &amp; CONTENT COSTS</t>
  </si>
  <si>
    <t>AWS base cost per month</t>
  </si>
  <si>
    <t>Media GB per paying fan per month</t>
  </si>
  <si>
    <t>GB</t>
  </si>
  <si>
    <t>Egress cost per GB (zero-egress CDN)</t>
  </si>
  <si>
    <t>Cloudflare R2 / Backblaze B2 list</t>
  </si>
  <si>
    <t>Egress cost per GB (CloudFront list)</t>
  </si>
  <si>
    <t>AWS CloudFront list price: the EUR 1.1M/yr trap</t>
  </si>
  <si>
    <t>Moderation cost per 1,000 items</t>
  </si>
  <si>
    <t>Items per athlete per month</t>
  </si>
  <si>
    <t>PEOPLE &amp; OVERHEAD</t>
  </si>
  <si>
    <t>Headcount</t>
  </si>
  <si>
    <t>FTE</t>
  </si>
  <si>
    <t>Loaded salary (incl. ~32% employer SS)</t>
  </si>
  <si>
    <t>Markets live</t>
  </si>
  <si>
    <t>Legal: base compliance</t>
  </si>
  <si>
    <t>EUR/yr</t>
  </si>
  <si>
    <t>Legal: base, per extra head</t>
  </si>
  <si>
    <t>Legal: incorporation</t>
  </si>
  <si>
    <t>EUR, Y1</t>
  </si>
  <si>
    <t>Legal: launch pack</t>
  </si>
  <si>
    <t>Legal: DAC7 annual</t>
  </si>
  <si>
    <t>Legal: content and DSA</t>
  </si>
  <si>
    <t>EUR/yr from Y2</t>
  </si>
  <si>
    <t>Legal: market entry</t>
  </si>
  <si>
    <t>EUR per new market</t>
  </si>
  <si>
    <t>Legal: VAT and tax per market</t>
  </si>
  <si>
    <t>Legal: round documentation</t>
  </si>
  <si>
    <t>Legal: IP</t>
  </si>
  <si>
    <t>Legal: IP per new market</t>
  </si>
  <si>
    <t>Legal: per hire</t>
  </si>
  <si>
    <t>Legal: handbook</t>
  </si>
  <si>
    <t>EUR, once</t>
  </si>
  <si>
    <t>Legal: handbook at</t>
  </si>
  <si>
    <t>Legal: disputes</t>
  </si>
  <si>
    <t>share of GMV</t>
  </si>
  <si>
    <t>Legal: contingency</t>
  </si>
  <si>
    <t>on the whole</t>
  </si>
  <si>
    <t>Other opex as % of revenue</t>
  </si>
  <si>
    <t>WORKING CAPITAL, CAPEX &amp; TAX</t>
  </si>
  <si>
    <t>Athlete payout float</t>
  </si>
  <si>
    <t>days</t>
  </si>
  <si>
    <t>We hold fan money before paying athletes, a cash benefit</t>
  </si>
  <si>
    <t>Sponsor receivable days</t>
  </si>
  <si>
    <t>Trade payable days</t>
  </si>
  <si>
    <t>Capitalised development</t>
  </si>
  <si>
    <t>% of people cost</t>
  </si>
  <si>
    <t>Amortisation period</t>
  </si>
  <si>
    <t>years</t>
  </si>
  <si>
    <t>Corporate tax: startup rate</t>
  </si>
  <si>
    <t>Spanish Startup Law, first 4 profitable years</t>
  </si>
  <si>
    <t>Corporate tax: standard rate</t>
  </si>
  <si>
    <t>Spanish corporate income tax</t>
  </si>
  <si>
    <t>Years at startup rate (from first profit)</t>
  </si>
  <si>
    <t>ADMISSION: the gate between an applicant and an athlete</t>
  </si>
  <si>
    <t>Admission rate: direct applicants</t>
  </si>
  <si>
    <t>% admitted</t>
  </si>
  <si>
    <t>ops-load output of scripts/admission_stress.py</t>
  </si>
  <si>
    <t>Review rate: direct applicants</t>
  </si>
  <si>
    <t>% needing a human</t>
  </si>
  <si>
    <t>Admission rate: club-nominated</t>
  </si>
  <si>
    <t>ESTIMATE: a verified club's floor carries more of them past the bar</t>
  </si>
  <si>
    <t>Review rate: club-nominated</t>
  </si>
  <si>
    <t>ESTIMATE</t>
  </si>
  <si>
    <t>Applicants arriving via a club</t>
  </si>
  <si>
    <t>% of applicants</t>
  </si>
  <si>
    <t>Grows as federation and club partnerships land</t>
  </si>
  <si>
    <t>Minutes per manual review</t>
  </si>
  <si>
    <t>min</t>
  </si>
  <si>
    <t>Open the link, decide whether it names the applicant</t>
  </si>
  <si>
    <t>Productive hours per reviewer-year</t>
  </si>
  <si>
    <t>h</t>
  </si>
  <si>
    <t>Prices review time off the same loaded salary line</t>
  </si>
  <si>
    <t>VALUATION</t>
  </si>
  <si>
    <t xml:space="preserve">  Mature listed software, Europe, in EUR</t>
  </si>
  <si>
    <t>Damodaran, NYU Stern, Cost of Capital by Industry (Europe), 5 Jan 2026. 23 listed firms</t>
  </si>
  <si>
    <t xml:space="preserve">  Spain country risk premium</t>
  </si>
  <si>
    <t>Damodaran, country risk premiums, 5 Jan 2026. The sector figure above is pan-European; the company is Spanish</t>
  </si>
  <si>
    <t xml:space="preserve">  Size and stage premium</t>
  </si>
  <si>
    <t>NOT SOURCED. A pre-revenue company with one product and no operating history does not finance itself at a listed company's cost of capital. Convention puts early-stage venture at 20-35% all-in. The largest single judgement in the valuation</t>
  </si>
  <si>
    <t>WACC / discount rate</t>
  </si>
  <si>
    <t>The sum of the three rows above. Trace precedents from here to see which parts are published and which is judgement</t>
  </si>
  <si>
    <t>Terminal growth</t>
  </si>
  <si>
    <t>Exit revenue multiple</t>
  </si>
  <si>
    <t>Blended marketplace + SaaS comparables</t>
  </si>
  <si>
    <t>Risk-free rate (Spanish 10Y)</t>
  </si>
  <si>
    <t>Spanish 10Y government bond, mid-2026</t>
  </si>
  <si>
    <t>Founder alternative return</t>
  </si>
  <si>
    <t>Drivers: Growth Assumptions</t>
  </si>
  <si>
    <t>ATHLETES</t>
  </si>
  <si>
    <t>Total athletes (year end)</t>
  </si>
  <si>
    <t>Niche athletes</t>
  </si>
  <si>
    <t>Popular athletes</t>
  </si>
  <si>
    <t>NICHE: fans and churn</t>
  </si>
  <si>
    <t>Niche athletes lost to churn</t>
  </si>
  <si>
    <t>Niche athletes acquired (gross)</t>
  </si>
  <si>
    <t>Niche monetising athletes</t>
  </si>
  <si>
    <t>Niche paying fans (target, year end)</t>
  </si>
  <si>
    <t>Niche monthly retention r = 1-churn</t>
  </si>
  <si>
    <t>factor</t>
  </si>
  <si>
    <t>Niche opening fans survived 12 months</t>
  </si>
  <si>
    <t>open x r^12</t>
  </si>
  <si>
    <t>Niche monthly gross adds</t>
  </si>
  <si>
    <t>solved, then capped by capacity</t>
  </si>
  <si>
    <t>Niche paying fans (year end)</t>
  </si>
  <si>
    <t>survivors + capped adds</t>
  </si>
  <si>
    <t>Niche fans acquired (gross)</t>
  </si>
  <si>
    <t>x12 months</t>
  </si>
  <si>
    <t>Niche S = r(1-r^12)/(1-r)</t>
  </si>
  <si>
    <t>geometric sum</t>
  </si>
  <si>
    <t>Niche average fans during year</t>
  </si>
  <si>
    <t>exact mean, revenue basis</t>
  </si>
  <si>
    <t>Niche fans lost to churn</t>
  </si>
  <si>
    <t>opening + gross adds - closing</t>
  </si>
  <si>
    <t>POPULAR: fans and churn</t>
  </si>
  <si>
    <t>Popular athletes lost to churn</t>
  </si>
  <si>
    <t>Popular athletes acquired (gross)</t>
  </si>
  <si>
    <t>Popular monetising athletes</t>
  </si>
  <si>
    <t>Popular paying fans (target, year end)</t>
  </si>
  <si>
    <t>Popular monthly retention r = 1-churn</t>
  </si>
  <si>
    <t>Popular opening fans survived 12 months</t>
  </si>
  <si>
    <t>Popular monthly gross adds</t>
  </si>
  <si>
    <t>Popular paying fans (year end)</t>
  </si>
  <si>
    <t>Popular fans acquired (gross)</t>
  </si>
  <si>
    <t>Popular S = r(1-r^12)/(1-r)</t>
  </si>
  <si>
    <t>Popular average fans during year</t>
  </si>
  <si>
    <t>Popular fans lost to churn</t>
  </si>
  <si>
    <t>TOTALS</t>
  </si>
  <si>
    <t>Paying fans (year end)</t>
  </si>
  <si>
    <t>Average paying fans</t>
  </si>
  <si>
    <t>Athletes acquired (gross)</t>
  </si>
  <si>
    <t>Fans lost to churn</t>
  </si>
  <si>
    <t>DEALS</t>
  </si>
  <si>
    <t>Niche deals</t>
  </si>
  <si>
    <t>Popular deals</t>
  </si>
  <si>
    <t>Total deals</t>
  </si>
  <si>
    <t>Supply factor</t>
  </si>
  <si>
    <t>athletes / floor, capped at 1</t>
  </si>
  <si>
    <t>Paying sponsors</t>
  </si>
  <si>
    <t>Sponsors acquired (gross)</t>
  </si>
  <si>
    <t>ADMISSION FUNNEL</t>
  </si>
  <si>
    <t>Blended admission rate</t>
  </si>
  <si>
    <t>weighted by channel</t>
  </si>
  <si>
    <t>Blended review rate</t>
  </si>
  <si>
    <t>Applications required</t>
  </si>
  <si>
    <t>gross adds / admission rate</t>
  </si>
  <si>
    <t>Manual reviews</t>
  </si>
  <si>
    <t>applications x review rate</t>
  </si>
  <si>
    <t>Reviewer FTE implied</t>
  </si>
  <si>
    <t>the real constraint, not the euros</t>
  </si>
  <si>
    <t>Revenue: Stream by stream breakdown</t>
  </si>
  <si>
    <t>FAN GMV: what fans pay athletes, net of VAT</t>
  </si>
  <si>
    <t>Niche subscription GMV</t>
  </si>
  <si>
    <t>avg fans x ARPU x 12, ex-VAT</t>
  </si>
  <si>
    <t>Popular subscription GMV</t>
  </si>
  <si>
    <t>ex-VAT</t>
  </si>
  <si>
    <t>Subscription GMV</t>
  </si>
  <si>
    <t>PPV and tips GMV</t>
  </si>
  <si>
    <t>x multiple</t>
  </si>
  <si>
    <t>Total fan GMV</t>
  </si>
  <si>
    <t>ex-VAT, the take base</t>
  </si>
  <si>
    <t>Fan GMV including VAT</t>
  </si>
  <si>
    <t>what cards are charged</t>
  </si>
  <si>
    <t>SPONSORSHIP GMV: what sponsors pay athletes and clubs</t>
  </si>
  <si>
    <t>Niche sponsorship GMV</t>
  </si>
  <si>
    <t>Popular sponsorship GMV</t>
  </si>
  <si>
    <t>Total sponsorship GMV</t>
  </si>
  <si>
    <t>Agency share of subscribers</t>
  </si>
  <si>
    <t>Starter share of subscribers</t>
  </si>
  <si>
    <t>Subscriber share of deal volume</t>
  </si>
  <si>
    <t>Effective sponsorship take</t>
  </si>
  <si>
    <t>TOTAL GMV</t>
  </si>
  <si>
    <t>NET REVENUE: our share</t>
  </si>
  <si>
    <t>Fan take</t>
  </si>
  <si>
    <t>fan GMV x take rate</t>
  </si>
  <si>
    <t>Sponsorship take</t>
  </si>
  <si>
    <t>Sponsor SaaS</t>
  </si>
  <si>
    <t>paying sponsors x ARPU x 12</t>
  </si>
  <si>
    <t>NET REVENUE</t>
  </si>
  <si>
    <t>Growth</t>
  </si>
  <si>
    <t>% YoY</t>
  </si>
  <si>
    <t>Take rate on GMV</t>
  </si>
  <si>
    <t>blended</t>
  </si>
  <si>
    <t>COST OF SALES</t>
  </si>
  <si>
    <t>Fan transactions</t>
  </si>
  <si>
    <t>fan GMV incl VAT / avg ticket</t>
  </si>
  <si>
    <t>Deal transactions</t>
  </si>
  <si>
    <t>Payment processing</t>
  </si>
  <si>
    <t>% of processed + fixed</t>
  </si>
  <si>
    <t>Payouts to athletes</t>
  </si>
  <si>
    <t>% + fixed</t>
  </si>
  <si>
    <t>Media egress GB</t>
  </si>
  <si>
    <t>GB/yr</t>
  </si>
  <si>
    <t>Infrastructure (AWS + CDN)</t>
  </si>
  <si>
    <t>base + egress</t>
  </si>
  <si>
    <t xml:space="preserve">  memo: same egress at CloudFront list</t>
  </si>
  <si>
    <t>the trap</t>
  </si>
  <si>
    <t>Moderation</t>
  </si>
  <si>
    <t>items x rate</t>
  </si>
  <si>
    <t>Athlete verification</t>
  </si>
  <si>
    <t>reviews x minutes x hourly</t>
  </si>
  <si>
    <t>TOTAL COST OF SALES</t>
  </si>
  <si>
    <t>OPERATING COSTS</t>
  </si>
  <si>
    <t>People</t>
  </si>
  <si>
    <t>FTE x loaded salary</t>
  </si>
  <si>
    <t>Athlete acquisition: niche</t>
  </si>
  <si>
    <t>gross adds x CAC</t>
  </si>
  <si>
    <t>Athlete acquisition: popular</t>
  </si>
  <si>
    <t>Sponsor acquisition</t>
  </si>
  <si>
    <t>Total marketing / CAC</t>
  </si>
  <si>
    <t xml:space="preserve">  memo: athlete marketing per application</t>
  </si>
  <si>
    <t>CAC is per ADMITTED athlete</t>
  </si>
  <si>
    <t xml:space="preserve">  Legal: base</t>
  </si>
  <si>
    <t xml:space="preserve">  Legal: incorporation and launch pack</t>
  </si>
  <si>
    <t xml:space="preserve">  Legal: DAC7</t>
  </si>
  <si>
    <t xml:space="preserve">  Legal: content and DSA</t>
  </si>
  <si>
    <t xml:space="preserve">  Legal: market entry</t>
  </si>
  <si>
    <t xml:space="preserve">  Legal: VAT and tax</t>
  </si>
  <si>
    <t xml:space="preserve">  Legal: round documentation</t>
  </si>
  <si>
    <t xml:space="preserve">  Legal: IP</t>
  </si>
  <si>
    <t xml:space="preserve">  Legal: employment</t>
  </si>
  <si>
    <t xml:space="preserve">  Legal: disputes</t>
  </si>
  <si>
    <t>Legal &amp; compliance</t>
  </si>
  <si>
    <t>Other opex</t>
  </si>
  <si>
    <t>% of revenue</t>
  </si>
  <si>
    <t>TOTAL OPERATING COSTS</t>
  </si>
  <si>
    <t>Working capital, capex and amortisation</t>
  </si>
  <si>
    <t>WORKING CAPITAL</t>
  </si>
  <si>
    <t>Sponsor receivables</t>
  </si>
  <si>
    <t>SaaS+take x AR days/365</t>
  </si>
  <si>
    <t>processed GMV owed, not yet paid</t>
  </si>
  <si>
    <t>Trade payables</t>
  </si>
  <si>
    <t>opex x AP days/365</t>
  </si>
  <si>
    <t>Net working capital</t>
  </si>
  <si>
    <t>AR - float - AP</t>
  </si>
  <si>
    <t>Change in NWC</t>
  </si>
  <si>
    <t>cash impact</t>
  </si>
  <si>
    <t>CAPEX &amp; AMORTISATION</t>
  </si>
  <si>
    <t>Amortisation</t>
  </si>
  <si>
    <t>3-yr straight line on trailing capex</t>
  </si>
  <si>
    <t>Net intangible assets</t>
  </si>
  <si>
    <t>closing</t>
  </si>
  <si>
    <t>Net revenue</t>
  </si>
  <si>
    <t>Cost of sales</t>
  </si>
  <si>
    <t>GROSS PROFIT</t>
  </si>
  <si>
    <t>Gross margin</t>
  </si>
  <si>
    <t>Operating costs</t>
  </si>
  <si>
    <t>EBITDA</t>
  </si>
  <si>
    <t>EBITDA margin</t>
  </si>
  <si>
    <t>EBIT</t>
  </si>
  <si>
    <t>TAX: with loss carryforward and the startup-rate step</t>
  </si>
  <si>
    <t>Losses brought forward</t>
  </si>
  <si>
    <t>accumulated</t>
  </si>
  <si>
    <t>Taxable profit</t>
  </si>
  <si>
    <t>after offset</t>
  </si>
  <si>
    <t>Losses carried forward</t>
  </si>
  <si>
    <t>running</t>
  </si>
  <si>
    <t>Applicable tax rate</t>
  </si>
  <si>
    <t>15% then 25%</t>
  </si>
  <si>
    <t>Tax charge</t>
  </si>
  <si>
    <t>NET PROFIT</t>
  </si>
  <si>
    <t>Cash Flow Statement</t>
  </si>
  <si>
    <t>Net profit</t>
  </si>
  <si>
    <t>Add back amortisation</t>
  </si>
  <si>
    <t>Change in working capital</t>
  </si>
  <si>
    <t>OPERATING CASH FLOW</t>
  </si>
  <si>
    <t>Capital expenditure</t>
  </si>
  <si>
    <t>FREE CASH FLOW</t>
  </si>
  <si>
    <t>Cumulative free cash flow</t>
  </si>
  <si>
    <t>Equity raised</t>
  </si>
  <si>
    <t>see Funding</t>
  </si>
  <si>
    <t>Opening cash</t>
  </si>
  <si>
    <t>CLOSING CASH</t>
  </si>
  <si>
    <t>Balance sheet</t>
  </si>
  <si>
    <t>ASSETS</t>
  </si>
  <si>
    <t>Cash</t>
  </si>
  <si>
    <t>TOTAL ASSETS</t>
  </si>
  <si>
    <t>LIABILITIES</t>
  </si>
  <si>
    <t>TOTAL LIABILITIES</t>
  </si>
  <si>
    <t>EQUITY</t>
  </si>
  <si>
    <t>Paid-in capital</t>
  </si>
  <si>
    <t>Retained earnings</t>
  </si>
  <si>
    <t>TOTAL EQUITY</t>
  </si>
  <si>
    <t>Liabilities + equity</t>
  </si>
  <si>
    <t>BALANCE CHECK</t>
  </si>
  <si>
    <t>must be zero</t>
  </si>
  <si>
    <t>Valuation, DCF, NPV, IRR and exit multiples</t>
  </si>
  <si>
    <t>Free cash flow</t>
  </si>
  <si>
    <t>Discount factor</t>
  </si>
  <si>
    <t>1/(1+WACC)^t</t>
  </si>
  <si>
    <t>Discounted FCF</t>
  </si>
  <si>
    <t>FCF incl. terminal value</t>
  </si>
  <si>
    <t>for the IRR below</t>
  </si>
  <si>
    <t>DCF</t>
  </si>
  <si>
    <t>PV of explicit forecast</t>
  </si>
  <si>
    <t>Terminal value at Y10</t>
  </si>
  <si>
    <t>PV of terminal value</t>
  </si>
  <si>
    <t>ENTERPRISE VALUE (DCF)</t>
  </si>
  <si>
    <t>RETURN METRICS</t>
  </si>
  <si>
    <t>NPV of FCF at WACC</t>
  </si>
  <si>
    <t>IRR of the plan</t>
  </si>
  <si>
    <t>IRR incl. terminal value</t>
  </si>
  <si>
    <t>EXIT MULTIPLE</t>
  </si>
  <si>
    <t>Y10 net revenue</t>
  </si>
  <si>
    <t>Exit value at Y10</t>
  </si>
  <si>
    <t>Discounted to today</t>
  </si>
  <si>
    <t>SENSITIVITY: enterprise value by WACC and terminal growth</t>
  </si>
  <si>
    <t>Terminal growth \ WACC</t>
  </si>
  <si>
    <t>Both axes are live inputs: edit a WACC header or a growth label and the grid recomputes.</t>
  </si>
  <si>
    <t>Funding rounds and dilution</t>
  </si>
  <si>
    <t>Pre-money valuation</t>
  </si>
  <si>
    <t>Both rounds are priced against Sponsoo, the closest comparable there is: our pre-seed at EUR 1.8M against their EUR 1.55M seed, and the growth round at EUR 12M against their EUR 15.9M Series A.</t>
  </si>
  <si>
    <t>Post-money valuation</t>
  </si>
  <si>
    <t>New investor stake</t>
  </si>
  <si>
    <t>Athlete partner equity</t>
  </si>
  <si>
    <t>5% to an athlete partner at the pre-seed, paid in equity rather than cash. The anchor athlete the pre-seed gate depends on: they put their name and their audience behind a product that does not exist yet. Four-year vesting, one-year cliff.</t>
  </si>
  <si>
    <t>ESOP pool</t>
  </si>
  <si>
    <t>Employee Stock Option Pool: 10% reserved for employee options at the growth round, which is when there is institutional money and people worth keeping.</t>
  </si>
  <si>
    <t>Founders + team retained</t>
  </si>
  <si>
    <t>Cumulative dilution</t>
  </si>
  <si>
    <t>Hiring plan</t>
  </si>
  <si>
    <t>FTE BY ROLE</t>
  </si>
  <si>
    <t>Founder / CEO</t>
  </si>
  <si>
    <t>Engineering</t>
  </si>
  <si>
    <t>BD / partnerships</t>
  </si>
  <si>
    <t>Athlete success</t>
  </si>
  <si>
    <t>Trust &amp; safety / review</t>
  </si>
  <si>
    <t>Finance / operations</t>
  </si>
  <si>
    <t>Data protection officer</t>
  </si>
  <si>
    <t>TOTAL FTE</t>
  </si>
  <si>
    <t>COST: ROLE BUILD-UP AGAINST THE MODEL</t>
  </si>
  <si>
    <t>Employer social security</t>
  </si>
  <si>
    <t>on gross</t>
  </si>
  <si>
    <t>GROSS SALARY BY ROLE</t>
  </si>
  <si>
    <t>EUR, before employer SS</t>
  </si>
  <si>
    <t xml:space="preserve">  Founder / CEO</t>
  </si>
  <si>
    <t xml:space="preserve">  Engineering</t>
  </si>
  <si>
    <t xml:space="preserve">  BD / partnerships</t>
  </si>
  <si>
    <t xml:space="preserve">  Athlete success</t>
  </si>
  <si>
    <t xml:space="preserve">  Trust &amp; safety / review</t>
  </si>
  <si>
    <t xml:space="preserve">  Finance / operations</t>
  </si>
  <si>
    <t xml:space="preserve">  Data protection officer</t>
  </si>
  <si>
    <t>Founder / CEO: loaded</t>
  </si>
  <si>
    <t>Engineering: loaded</t>
  </si>
  <si>
    <t>BD / partnerships: loaded</t>
  </si>
  <si>
    <t>Athlete success: loaded</t>
  </si>
  <si>
    <t>Trust &amp; safety / review: loaded</t>
  </si>
  <si>
    <t>Finance / operations: loaded</t>
  </si>
  <si>
    <t>Data protection officer: loaded</t>
  </si>
  <si>
    <t>TOTAL, role build-up</t>
  </si>
  <si>
    <t>People cost in the model</t>
  </si>
  <si>
    <t>Difference: role mix</t>
  </si>
  <si>
    <t>build-up less model</t>
  </si>
  <si>
    <t xml:space="preserve">  memo: build-up per FTE</t>
  </si>
  <si>
    <t xml:space="preserve">  memo: model blended per FTE</t>
  </si>
  <si>
    <t>The FTE block reconciles exactly and is the plan. The cost build-up prices those roles at their own salaries; the model prices the same headcount at a blended loaded average that rises from 38k to 76k over the plan, while the build-up holds today's salaries flat. The two cross over at Y4: the build-up is the higher figure in Y1-Y3, where one founder salary dominates a team of two or three, and the model is higher from Y4 as its blended rate climbs. The model is the one that reaches the P&amp;L either way. The memo rows below make the two rates comparable.</t>
  </si>
  <si>
    <t>Customer acquisition cost and lifetime value</t>
  </si>
  <si>
    <t>ATHLETE: BLENDED ACROSS SEGMENTS</t>
  </si>
  <si>
    <t>Blended CAC per athlete acquired</t>
  </si>
  <si>
    <t>spend / gross adds</t>
  </si>
  <si>
    <t>Blended athlete churn</t>
  </si>
  <si>
    <t>gross-add weighted</t>
  </si>
  <si>
    <t>Expected athlete life</t>
  </si>
  <si>
    <t>Net revenue per athlete</t>
  </si>
  <si>
    <t>Contribution per athlete per year</t>
  </si>
  <si>
    <t>after COGS</t>
  </si>
  <si>
    <t>ATHLETE LTV</t>
  </si>
  <si>
    <t>LTV / CAC</t>
  </si>
  <si>
    <t>CAC payback</t>
  </si>
  <si>
    <t>months</t>
  </si>
  <si>
    <t>The athlete LTV/CAC ratio is unusually high, and that is the thesis rather than an error: acquisition is cheap precisely because there is no incumbent agent to outbid in these sports. It should be read alongside the fan LTV below, which is small: the economics work on volume of athletes, not on the value of any one of them.</t>
  </si>
  <si>
    <t>FAN: NICHE SUBSCRIPTION ONLY</t>
  </si>
  <si>
    <t>excludes PPV and tips, which the revenue model carries separately</t>
  </si>
  <si>
    <t>Fan ARPU, VAT inclusive</t>
  </si>
  <si>
    <t>Net of VAT</t>
  </si>
  <si>
    <t>Our take</t>
  </si>
  <si>
    <t>Payment cost on the charge</t>
  </si>
  <si>
    <t>Payout cost, share per fan month</t>
  </si>
  <si>
    <t>Contribution per fan month</t>
  </si>
  <si>
    <t>Fan churn</t>
  </si>
  <si>
    <t>per month</t>
  </si>
  <si>
    <t>Expected fan life</t>
  </si>
  <si>
    <t>FAN LTV</t>
  </si>
  <si>
    <t>Fan CAC</t>
  </si>
  <si>
    <t>Fan CAC is zero by construction: athletes bring their own audiences and the model spends nothing acquiring fans. That understates the risk rather than flattering the return, and the plan discloses it as such.</t>
  </si>
  <si>
    <t>SPONSOR</t>
  </si>
  <si>
    <t>SaaS per paying sponsor</t>
  </si>
  <si>
    <t>Sponsorship take per paying sponsor</t>
  </si>
  <si>
    <t>Contribution per sponsor per year</t>
  </si>
  <si>
    <t>at gross margin</t>
  </si>
  <si>
    <t>No sponsor LTV is shown. It needs a sponsor retention assumption the model does not make, and inventing one here would create a figure nothing else in the plan validates. Payback needs no such assumption, so payback is what is reported.</t>
  </si>
  <si>
    <t>SCALE</t>
  </si>
  <si>
    <t>Active athletes</t>
  </si>
  <si>
    <t>Paying fans, year end</t>
  </si>
  <si>
    <t>Recurring MRR</t>
  </si>
  <si>
    <t>subs x take + SaaS / 12</t>
  </si>
  <si>
    <t>QUALITY OF REVENUE</t>
  </si>
  <si>
    <t>Revenue per FTE</t>
  </si>
  <si>
    <t>RETENTION AND EFFICIENCY</t>
  </si>
  <si>
    <t>Fan churn, niche</t>
  </si>
  <si>
    <t>Athlete churn, niche</t>
  </si>
  <si>
    <t>per year</t>
  </si>
  <si>
    <t>Athlete LTV / CAC</t>
  </si>
  <si>
    <t>Comparables - published facts about the platforms we are modelled on</t>
  </si>
  <si>
    <t>Nothing on this sheet is our estimate. Every figure is published and cited, so it can be refreshed independently of anything we concluded from it. MarketModel derives our assumptions from these numbers; Assumptions then uses what MarketModel produces.</t>
  </si>
  <si>
    <t>Metric</t>
  </si>
  <si>
    <t>Value</t>
  </si>
  <si>
    <t>Platform</t>
  </si>
  <si>
    <t>Period</t>
  </si>
  <si>
    <t>Source</t>
  </si>
  <si>
    <t>Gross payments (GMV)</t>
  </si>
  <si>
    <t>USD</t>
  </si>
  <si>
    <t>OnlyFans</t>
  </si>
  <si>
    <t>FY2024</t>
  </si>
  <si>
    <t>Fenix International Ltd filed accounts (Companies House 10354575)</t>
  </si>
  <si>
    <t>Paid to creators</t>
  </si>
  <si>
    <t>Fenix International Ltd filed accounts, 80.3% of gross</t>
  </si>
  <si>
    <t>Creator accounts</t>
  </si>
  <si>
    <t>Variety: +13% YoY</t>
  </si>
  <si>
    <t>Fan accounts</t>
  </si>
  <si>
    <t>Variety: +24% YoY</t>
  </si>
  <si>
    <t>Reported average creator earnings</t>
  </si>
  <si>
    <t>USD/month</t>
  </si>
  <si>
    <t>Sci-Tech Today / ElectroIQ: after platform fees</t>
  </si>
  <si>
    <t>Revenue concentration</t>
  </si>
  <si>
    <t>share to top 0.1%</t>
  </si>
  <si>
    <t>2025</t>
  </si>
  <si>
    <t>ElectroIQ: power-law distribution</t>
  </si>
  <si>
    <t>Creators with &gt;=1 paying member</t>
  </si>
  <si>
    <t>Patreon</t>
  </si>
  <si>
    <t>Feb 2026</t>
  </si>
  <si>
    <t>Graphtreon</t>
  </si>
  <si>
    <t>Active creators</t>
  </si>
  <si>
    <t>Jack Conte, Patreon</t>
  </si>
  <si>
    <t>Active paying members</t>
  </si>
  <si>
    <t>2026</t>
  </si>
  <si>
    <t>Patreon / Backlinko</t>
  </si>
  <si>
    <t>Paid to creators annually</t>
  </si>
  <si>
    <t>USD/year</t>
  </si>
  <si>
    <t>Average monthly support per member</t>
  </si>
  <si>
    <t>Aug 2024</t>
  </si>
  <si>
    <t>Patreon 2024 Transparency Report; audit of ~1,200 creators</t>
  </si>
  <si>
    <t>Typical patronage band (low)</t>
  </si>
  <si>
    <t>Creator-economy benchmarks</t>
  </si>
  <si>
    <t>Typical patronage band (high)</t>
  </si>
  <si>
    <t>Monthly churn (low)</t>
  </si>
  <si>
    <t>share</t>
  </si>
  <si>
    <t>2024</t>
  </si>
  <si>
    <t>Patreon 2024 Transparency Report</t>
  </si>
  <si>
    <t>Monthly churn (high)</t>
  </si>
  <si>
    <t>Annual-plan churn multiplier</t>
  </si>
  <si>
    <t>x monthly churn</t>
  </si>
  <si>
    <t>Patreon 2024 Transparency Report: annual patrons churn at 1/3 the rate</t>
  </si>
  <si>
    <t>Creators with &gt;2,000 patrons</t>
  </si>
  <si>
    <t>Graphtreon: power-law distribution</t>
  </si>
  <si>
    <t>Division I athletes in network</t>
  </si>
  <si>
    <t>TEKTA</t>
  </si>
  <si>
    <t>Aug 2026</t>
  </si>
  <si>
    <t>Publicis Groupe press release, 19 Aug 2026</t>
  </si>
  <si>
    <t>Power Four universities</t>
  </si>
  <si>
    <t>Publicis Groupe press release</t>
  </si>
  <si>
    <t>Claimed speed-to-market gain</t>
  </si>
  <si>
    <t>share faster</t>
  </si>
  <si>
    <t>Publicis: stated 50-70% vs a traditional agency process</t>
  </si>
  <si>
    <t>TAKE RATES - what each platform costs a creator</t>
  </si>
  <si>
    <t>Headline take</t>
  </si>
  <si>
    <t>Per txn (USD)</t>
  </si>
  <si>
    <t>Monthly fee (USD)</t>
  </si>
  <si>
    <t>Derived: 1.41bn / 7.22bn = 19.5% (filed accounts)</t>
  </si>
  <si>
    <t>Fansly</t>
  </si>
  <si>
    <t>Not published in terms; widely reported</t>
  </si>
  <si>
    <t>Fanfix</t>
  </si>
  <si>
    <t>Published: 10% all-in, processing included</t>
  </si>
  <si>
    <t>Passes</t>
  </si>
  <si>
    <t>Sacra; Passes rebrand release Apr 2026</t>
  </si>
  <si>
    <t>Stride (proposed)</t>
  </si>
  <si>
    <t>Our decision, see MarketModel</t>
  </si>
  <si>
    <t>INTERMEDIARIES the athlete already pays</t>
  </si>
  <si>
    <t>Sports agent: endorsement</t>
  </si>
  <si>
    <t>Unregulated; widely reported, no primary source</t>
  </si>
  <si>
    <t>Sports agent: playing contract</t>
  </si>
  <si>
    <t>NBPA reg. 4.B (Sept 2025); FIFA FFAR art. 15</t>
  </si>
  <si>
    <t>OnlyFans management agency</t>
  </si>
  <si>
    <t>Aruna Talent rate guide 2026, on top of the 20%</t>
  </si>
  <si>
    <t>SPONSORSHIP MARKET - top down, for context not for sizing</t>
  </si>
  <si>
    <t>European Sponsorship Association, analysis by Nielsen Sports, published 12 Mar 2026. NOTE: none of it breaks below the professional tier, so it is context rather than our addressable market. The athlete funnel on Research is what sizes the business.</t>
  </si>
  <si>
    <t>Scope</t>
  </si>
  <si>
    <t>Total sponsorship market</t>
  </si>
  <si>
    <t>Europe</t>
  </si>
  <si>
    <t>European Sponsorship Association, analysis by Nielsen Sports, 12 Mar 2026</t>
  </si>
  <si>
    <t>Sport sponsorship market</t>
  </si>
  <si>
    <t>ESA / Nielsen Sports: 72% of the total, +5.9% YoY</t>
  </si>
  <si>
    <t>Non-sport sponsorship</t>
  </si>
  <si>
    <t>ESA / Nielsen Sports: +1.8% YoY</t>
  </si>
  <si>
    <t>Spain</t>
  </si>
  <si>
    <t>ESA / Nielsen Sports: +14%, the fastest growing major European market</t>
  </si>
  <si>
    <t>Germany</t>
  </si>
  <si>
    <t>ESA / Nielsen Sports: the largest European market</t>
  </si>
  <si>
    <t>United Kingdom</t>
  </si>
  <si>
    <t>ESA / Nielsen Sports: +10.5%</t>
  </si>
  <si>
    <t>Italy</t>
  </si>
  <si>
    <t>ESA / Nielsen Sports: +5%</t>
  </si>
  <si>
    <t>France</t>
  </si>
  <si>
    <t>ESA / Nielsen Sports: +10.3%</t>
  </si>
  <si>
    <t>European SPORT sponsorship by year, EUR bn</t>
  </si>
  <si>
    <t>2020 is not published in the ESA series. Source: ESA via Statista, retrieved 1 Oct 2026.</t>
  </si>
  <si>
    <t>FAN DEMAND - published surveys bearing on the fan thesis</t>
  </si>
  <si>
    <t>Weekly minutes, fan-generated content</t>
  </si>
  <si>
    <t>minutes/week</t>
  </si>
  <si>
    <t>FR DE IT ES UK US</t>
  </si>
  <si>
    <t>Dec 2025</t>
  </si>
  <si>
    <t>Altman Solon / IRIS Sport, 6,000 respondents who watch sports video monthly</t>
  </si>
  <si>
    <t>Weekly minutes, highlights and clips</t>
  </si>
  <si>
    <t>Altman Solon / IRIS Sport</t>
  </si>
  <si>
    <t>Weekly minutes, live games and events</t>
  </si>
  <si>
    <t>YouTube share of fan-generated viewing</t>
  </si>
  <si>
    <t>Altman Solon / IRIS Sport: 40 of 115 minutes, more than linear TV or streaming</t>
  </si>
  <si>
    <t>Subscribers watching MORE sport after subscribing</t>
  </si>
  <si>
    <t>Worldwide</t>
  </si>
  <si>
    <t>Nov 2022</t>
  </si>
  <si>
    <t>YouGov / Strive, 19,000 respondents: 38% much more + 32% somewhat more</t>
  </si>
  <si>
    <t>Subscribers watching LESS sport after subscribing</t>
  </si>
  <si>
    <t>YouGov / Strive: 3% much less + 4% somewhat less</t>
  </si>
  <si>
    <t>SPONSORSHIP MARKETPLACES - the direct competitor set</t>
  </si>
  <si>
    <t>PitchBook company profiles retrieved 1 Oct 2026, reported in EUR. None of the four discloses revenue, so headcount and capital raised are the only scale measures available. Links at the bottom of this sheet.</t>
  </si>
  <si>
    <t>Company</t>
  </si>
  <si>
    <t>Founded</t>
  </si>
  <si>
    <t>Employees (as of)</t>
  </si>
  <si>
    <t>Total raised</t>
  </si>
  <si>
    <t>Largest round pre-money</t>
  </si>
  <si>
    <t>Status</t>
  </si>
  <si>
    <t>Sponsoo (Germany)</t>
  </si>
  <si>
    <t>Headcount as of 14 Nov 2025. Privately held, venture backed. Series A 28 Jan 2021; pre-money is a PitchBook ESTIMATE</t>
  </si>
  <si>
    <t>OpenSponsorship (United States)</t>
  </si>
  <si>
    <t>Headcount as of 9 Mar 2026. Privately held, venture backed. Last priced round not disclosed</t>
  </si>
  <si>
    <t>SponsorUnited (United States)</t>
  </si>
  <si>
    <t>Headcount as of 28 May 2026. Privately held, venture backed. Series A 21 Nov 2022</t>
  </si>
  <si>
    <t>Hookit (United States)</t>
  </si>
  <si>
    <t>Headcount as of 8 Feb 2022. Acquired, operating subsidiary. Series C2 24 Feb 2020; pre-money is a PitchBook ESTIMATE</t>
  </si>
  <si>
    <t>Stride (this plan, at Y10)</t>
  </si>
  <si>
    <t>Deliberately sized near Sponsoo. Only EUR 400k of the total is capital the plan depends on; the growth round is optional</t>
  </si>
  <si>
    <t>REVENUE PER EMPLOYEE - what the plan is tested against</t>
  </si>
  <si>
    <t>Benchmark</t>
  </si>
  <si>
    <t>EUR per employee</t>
  </si>
  <si>
    <t>Median private B2B SaaS, all stages</t>
  </si>
  <si>
    <t>SaaS Capital 2025 survey of ~1,000 private B2B SaaS companies</t>
  </si>
  <si>
    <t>Top quartile private B2B SaaS</t>
  </si>
  <si>
    <t>SaaS Capital 2025 survey, 75th percentile</t>
  </si>
  <si>
    <t>Efficient public SaaS at scale</t>
  </si>
  <si>
    <t>Public SaaS medians, widely reported range EUR 250-350k</t>
  </si>
  <si>
    <t>Stride (this plan, Y7)</t>
  </si>
  <si>
    <t>Above the top quartile. Defended in section 3.2.2: the fan side is self-serve and moderation is a variable cost, not headcount</t>
  </si>
  <si>
    <t>Multiple of the top quartile</t>
  </si>
  <si>
    <t>The plan's second most aggressive assumption after fan churn</t>
  </si>
  <si>
    <t>SOURCES</t>
  </si>
  <si>
    <t>OnlyFans FY2024 filed accounts (Fenix International Ltd)</t>
  </si>
  <si>
    <t>https://find-and-update.company-information.service.gov.uk/company/10354575/filing-history</t>
  </si>
  <si>
    <t>OnlyFans FY2024 as reported</t>
  </si>
  <si>
    <t>https://variety.com/2025/digital/news/onlyfans-fiscal-2024-revenue-earnings-1236495750/</t>
  </si>
  <si>
    <t>Patreon published take rate</t>
  </si>
  <si>
    <t>https://www.patreon.com/pricing</t>
  </si>
  <si>
    <t>Patreon creators</t>
  </si>
  <si>
    <t>https://backlinko.com/patreon-users</t>
  </si>
  <si>
    <t>Passes economics</t>
  </si>
  <si>
    <t>https://sacra.com/c/passes/</t>
  </si>
  <si>
    <t>Fanfix creator terms (states no take rate)</t>
  </si>
  <si>
    <t>https://auth.fanfix.io/creator-terms-of-use</t>
  </si>
  <si>
    <t>Agency commissions</t>
  </si>
  <si>
    <t>https://arunatalent.com/blog/onlyfans-agency-commission-rates/</t>
  </si>
  <si>
    <t>NBPA agent fee cap (amended Sept 2025)</t>
  </si>
  <si>
    <t>https://imgix.cosmicjs.com/cd844850-97c7-11f0-91fa-d9e1671c2776-NBPA-REGULATIONS-GOVERNING-PLAYER-AGENTS-09-2025.pdf</t>
  </si>
  <si>
    <t>FIFA Football Agent Regulations art. 15</t>
  </si>
  <si>
    <t>https://digitalhub.fifa.com/m/1e7b741fa0fae779/original/FIFA-Football-Agent-Regulations.pdf</t>
  </si>
  <si>
    <t>CJEU upholds the FIFA fee cap (16 Jul 2026)</t>
  </si>
  <si>
    <t>https://inside.fifa.com/news/welcomes-court-of-justice-european-union-decision-football-agent-regulations</t>
  </si>
  <si>
    <t>Eurobarometer 525</t>
  </si>
  <si>
    <t>https://europa.eu/eurobarometer/surveys/detail/2668</t>
  </si>
  <si>
    <t>FIP World Padel Report 2025</t>
  </si>
  <si>
    <t>https://www.padelfip.com/2025/12/online-the-fip-world-padel-report-2025-a-comprehensive-analysis-of-a-sport-in-constant-growth/</t>
  </si>
  <si>
    <t>Stripe EU pricing</t>
  </si>
  <si>
    <t>https://stripe.com/es/pricing</t>
  </si>
  <si>
    <t>TEKTA launch</t>
  </si>
  <si>
    <t>https://www.publicisgroupe.com/en/news/press-releases/publicis-sports-and-travis-kelce-s-tekta-join-forces-to-reimagine-the-future-of-nil-marketing</t>
  </si>
  <si>
    <t>Stripe Connect age</t>
  </si>
  <si>
    <t>https://support.stripe.com/questions/age-requirement-to-create-a-stripe-account</t>
  </si>
  <si>
    <t>PitchBook: Sponsoo GmbH</t>
  </si>
  <si>
    <t>https://pitchbook.com/profiles/company/103066-39</t>
  </si>
  <si>
    <t>PitchBook: OpenSponsorship</t>
  </si>
  <si>
    <t>https://pitchbook.com/profiles/company/113575-96</t>
  </si>
  <si>
    <t>PitchBook: SponsorUnited</t>
  </si>
  <si>
    <t>https://pitchbook.com/profiles/company/169635-43</t>
  </si>
  <si>
    <t>PitchBook: Hookit</t>
  </si>
  <si>
    <t>https://pitchbook.com/profiles/company/55307-17</t>
  </si>
  <si>
    <t>ESA European sponsorship market 2025</t>
  </si>
  <si>
    <t>https://sponsorship.org/european-sponsorship-market-reaches-e34-45bn-in-2025-as-growth-continues-across-all-sectors/</t>
  </si>
  <si>
    <t>SportsPro on the ESA 2026 market overview</t>
  </si>
  <si>
    <t>https://www.sportspro.com/news/sponsorship-marketing/sports-sponsorship-european-market-valuation-esa-march-2026/</t>
  </si>
  <si>
    <t>European sport sponsorship 2019-2025 (ESA via Statista)</t>
  </si>
  <si>
    <t>https://www.statista.com/statistics/1430225/sports-sponsorship-market-size-europe/</t>
  </si>
  <si>
    <t>Sports content formats by channel (Altman Solon / IRIS Sport)</t>
  </si>
  <si>
    <t>https://www.statista.com/statistics/1660170/time-spent-weekly-watching-sports-formats-by-channel/</t>
  </si>
  <si>
    <t>Impact of subscriptions on sports consumption (YouGov / Strive)</t>
  </si>
  <si>
    <t>https://www.statista.com/statistics/1413187/impact-subscriptions-sports-content-consumption/</t>
  </si>
  <si>
    <t>SaaS Capital revenue per employee benchmarks</t>
  </si>
  <si>
    <t>https://www.saas-capital.com/blog-posts/revenue-per-employee-benchmarks-for-private-saas-companies/</t>
  </si>
  <si>
    <t>Market Model - how the comparables become our assumptions</t>
  </si>
  <si>
    <t>Each block starts from a published figure on Comparables and ends in a number the Assumptions sheet uses. Adjustment factors are blue because they are our judgement; everything else is a formula you can trace.</t>
  </si>
  <si>
    <t>Input: change me</t>
  </si>
  <si>
    <t>1. PAYING FANS PER MONETISING ATHLETE  -&gt; Assumptions</t>
  </si>
  <si>
    <t>Patreon active paying members</t>
  </si>
  <si>
    <t>Published</t>
  </si>
  <si>
    <t>Patreon creators with &gt;=1 paying member</t>
  </si>
  <si>
    <t>Members per paying creator</t>
  </si>
  <si>
    <t>The single most useful benchmark we found: it is measured, not modelled.</t>
  </si>
  <si>
    <t>OnlyFans fan accounts per creator</t>
  </si>
  <si>
    <t>Fan ACCOUNTS, not paying fans - most follow free. Shown as an upper bound only.</t>
  </si>
  <si>
    <t>Niche adjustment</t>
  </si>
  <si>
    <t>OUR JUDGEMENT: +6% on the Patreon benchmark. Sport audiences are smaller but convert better, because the fan usually does the sport themselves.</t>
  </si>
  <si>
    <t>Popular adjustment</t>
  </si>
  <si>
    <t>OUR JUDGEMENT: +37%. Much larger followings, much weaker conversion - more paying fans in absolute terms even though a smaller share converts.</t>
  </si>
  <si>
    <t>→ Niche fans per athlete, mature</t>
  </si>
  <si>
    <t>→ Popular fans per athlete, mature</t>
  </si>
  <si>
    <t>2. FAN ARPU  -&gt; Assumptions</t>
  </si>
  <si>
    <t>Tier 1 price (Supporter)</t>
  </si>
  <si>
    <t>Tier 2 price (Insider)</t>
  </si>
  <si>
    <t>Tier 3 price (Inner circle)</t>
  </si>
  <si>
    <t>Mix - Tier 1</t>
  </si>
  <si>
    <t>Assumed distribution; replace with the real tier mix after P1.</t>
  </si>
  <si>
    <t>Mix - Tier 2</t>
  </si>
  <si>
    <t>Mix - Tier 3</t>
  </si>
  <si>
    <t>Mix check (must be 100%)</t>
  </si>
  <si>
    <t>→ Weighted ARPU per month</t>
  </si>
  <si>
    <t>Cross-check: Patreon reports $6.10 average support and a $8-12 typical band. Landing inside that band from an independent tier build is a good sign.</t>
  </si>
  <si>
    <t>Patreon average support (cross-check)</t>
  </si>
  <si>
    <t>Published average - below our figure because Patreon's long tail includes many $1-3 tiers. Our EUR 9.49 sits inside their $8-12 typical band.</t>
  </si>
  <si>
    <t>Niche ARPU factor</t>
  </si>
  <si>
    <t>Niche fans buy knowledge and sit at the tier mix above.</t>
  </si>
  <si>
    <t>Popular ARPU factor</t>
  </si>
  <si>
    <t>OUR JUDGEMENT: -13%. Popular-sport fans skew to the cheapest tier.</t>
  </si>
  <si>
    <t>→ Niche ARPU, mature</t>
  </si>
  <si>
    <t>→ Popular ARPU, mature</t>
  </si>
  <si>
    <t>3. FAN CHURN  -&gt; Assumptions</t>
  </si>
  <si>
    <t>Patreon monthly churn (low)</t>
  </si>
  <si>
    <t>Patreon monthly churn (high)</t>
  </si>
  <si>
    <t>Benchmark midpoint</t>
  </si>
  <si>
    <t>Patreon: annual patrons churn at one third the monthly rate.</t>
  </si>
  <si>
    <t>Share of subscribers on annual plans</t>
  </si>
  <si>
    <t>Our target for the season pass. This is the one lever that improves churn without changing the product.</t>
  </si>
  <si>
    <t>Blended benchmark churn</t>
  </si>
  <si>
    <t>What a Patreon-like platform would see with our annual mix.</t>
  </si>
  <si>
    <t>Niche engagement factor</t>
  </si>
  <si>
    <t>OUR CLAIM, UNTESTED, AND THE MOST OPTIMISTIC JUDGEMENT IN THE MODEL: this says niche fans churn 45% SLOWER than the Patreon benchmark, because training content is habitual and competitive seasons create renewal moments. Nothing yet proves it. If it is wrong and we are merely at benchmark, Y10 revenue falls by roughly EUR 7M.</t>
  </si>
  <si>
    <t>Popular engagement factor</t>
  </si>
  <si>
    <t>OUR JUDGEMENT: 15% better than benchmark. Impulse follows after a result, with many free substitutes - but still a sport fan rather than a general creator audience.</t>
  </si>
  <si>
    <t>→ Niche churn, mature</t>
  </si>
  <si>
    <t>→ Popular churn, mature</t>
  </si>
  <si>
    <t>4. WHAT AN ATHLETE ACTUALLY EARNS  (sanity check, not an input)</t>
  </si>
  <si>
    <t>OnlyFans: paid to creators / creator accounts</t>
  </si>
  <si>
    <t>Includes dormant accounts, so this is a floor.</t>
  </si>
  <si>
    <t>Patreon: paid to creators / paying creators</t>
  </si>
  <si>
    <t>Denominator is creators WITH members, so this is a ceiling.</t>
  </si>
  <si>
    <t>Stride: modelled niche athlete, mature</t>
  </si>
  <si>
    <t>Ours sits between the two, which is where a plausible figure should sit.</t>
  </si>
  <si>
    <t>Revenue share taken by top 0.1% (OnlyFans)</t>
  </si>
  <si>
    <t>THE CAVEAT ON EVERY AVERAGE ABOVE: earnings follow a power law. Totals are unaffected, but the median athlete earns far less than the mean. Do not pitch the mean to an athlete.</t>
  </si>
  <si>
    <t>5. TAKE RATE - what an athlete keeps, by platform</t>
  </si>
  <si>
    <t>USD to EUR</t>
  </si>
  <si>
    <t>Comparables are published in USD; this model is in EUR. Applied to the per-transaction and monthly creator fees below.</t>
  </si>
  <si>
    <t>Athlete monthly fan revenue (test case)</t>
  </si>
  <si>
    <t>Change this to see who is cheapest at any revenue level.</t>
  </si>
  <si>
    <t xml:space="preserve">  OnlyFans - athlete keeps</t>
  </si>
  <si>
    <t>Headline take, plus per-transaction and monthly creator fees where they exist.</t>
  </si>
  <si>
    <t xml:space="preserve">  Patreon - athlete keeps</t>
  </si>
  <si>
    <t xml:space="preserve">  Passes - athlete keeps</t>
  </si>
  <si>
    <t xml:space="preserve">  Stride (proposed) - athlete keeps</t>
  </si>
  <si>
    <t>Crossover vs Passes (EUR/month)</t>
  </si>
  <si>
    <t>Below this, our flat 15% pays the athlete more than Passes' 10% plus fees. Our modelled athlete earns far less than this, so the long tail is on our side of the line.</t>
  </si>
  <si>
    <t>6. MARKET SIZE  -&gt; sanity-checks the athlete trajectory</t>
  </si>
  <si>
    <t>Population, 34 countries in scope</t>
  </si>
  <si>
    <t>Millions. Eurostat / national statistics offices.</t>
  </si>
  <si>
    <t>Population, Spain</t>
  </si>
  <si>
    <t>Millions.</t>
  </si>
  <si>
    <t>Share who do any sport (Spain)</t>
  </si>
  <si>
    <t>Eurobarometer 525 - Spain sits near the EU average of 55% who exercise at all.</t>
  </si>
  <si>
    <t>Share with a public athletic identity</t>
  </si>
  <si>
    <t>OUR ESTIMATE: competes, posts publicly, has a following worth sponsoring.</t>
  </si>
  <si>
    <t>Share with commercial intent</t>
  </si>
  <si>
    <t>OUR ESTIMATE: would monetise if the tooling existed.</t>
  </si>
  <si>
    <t>→ Addressable athletes, Spain</t>
  </si>
  <si>
    <t>→ Addressable athletes, all 34 countries</t>
  </si>
  <si>
    <t>Using a 50% blended participation rate across the 34 countries.</t>
  </si>
  <si>
    <t>Y10 athletes in the plan</t>
  </si>
  <si>
    <t>→ Y10 penetration of Spain SAM</t>
  </si>
  <si>
    <t>→ Y10 penetration of full TAM</t>
  </si>
  <si>
    <t>If this reads as implausibly high, the athlete trajectory is too aggressive - that is exactly what this block exists to reveal.</t>
  </si>
  <si>
    <t>Research &amp; Benchmarking - where every assumption came from</t>
  </si>
  <si>
    <t>SOURCED = published figure | BENCHMARKED = set against named comparables | DERIVED = computed from other assumptions | ESTIMATE = judgement, no benchmark yet</t>
  </si>
  <si>
    <t>Assumption</t>
  </si>
  <si>
    <t>Model value</t>
  </si>
  <si>
    <t>Method</t>
  </si>
  <si>
    <t>Benchmark / comparable</t>
  </si>
  <si>
    <t>Confidence</t>
  </si>
  <si>
    <t>What would replace the estimate</t>
  </si>
  <si>
    <t>PRICING &amp; TAKE RATE</t>
  </si>
  <si>
    <t>Take rate on fan revenue</t>
  </si>
  <si>
    <t>BENCHMARKED</t>
  </si>
  <si>
    <t>Passes charges 10% but adds $0.30/txn and a $29/month creator fee; OnlyFans, Fansly and Fanfix are all 20%; Patreon 8-12%. A flat 15% with no monthly fee pays an athlete more than Passes for anyone under EUR 1,380/month of fan revenue.</t>
  </si>
  <si>
    <t>Sacra company profile (Passes); Passes rebrand release, Apr 2026; MEXC platform comparison 2026</t>
  </si>
  <si>
    <t>High</t>
  </si>
  <si>
    <t>Nothing. This is a pricing decision and the comparables are public.</t>
  </si>
  <si>
    <t>Sponsorship commission, Scout Pro</t>
  </si>
  <si>
    <t>7% against a 10% base. A sponsor paying EUR 2,988 a year for the tooling is already paying for the relationship, and charging them the full headline rate on every deal as well is charging twice for it. Below the 10-20% an agent takes, which is the point: the sponsor who commits most pays least on each deal.</t>
  </si>
  <si>
    <t>Priced against the agent range; the discount itself is a pricing decision</t>
  </si>
  <si>
    <t>Nothing to improve. This is a decision, not a measurement.</t>
  </si>
  <si>
    <t>Sponsorship commission, Scout Agency</t>
  </si>
  <si>
    <t>5%, which is half the low end of what an agent charges and a quarter of the high end. The most committed tier pays EUR 11,988 a year, so the deal rate can fall furthest here.</t>
  </si>
  <si>
    <t>Oreate and Sapling agent-commission surveys, 10-20%</t>
  </si>
  <si>
    <t>Subscribers are assumed to run 2.0x the deal volume of the average sponsor, which with a paid rate of 10-20% puts them at 20-40% of GMV. This is the ONLY estimate in the tiering and it is the one that sets the blended rate, which falls from 9.60% in Y1 to 8.56% by Y10. Deliberately conservative: Scout Pro buys five campaigns against the free tier's one, so 2.0x is well below what the campaign allowance alone would imply. Higher multiples lower the blend further.</t>
  </si>
  <si>
    <t>None. No tier-level deal volume exists yet, because no tier exists yet</t>
  </si>
  <si>
    <t>Low</t>
  </si>
  <si>
    <t>The first year of billing settles it exactly.</t>
  </si>
  <si>
    <t>Take rate on sponsorship</t>
  </si>
  <si>
    <t>Sports agents take 10-20% of an endorsement and 4-10% of a playing contract. On OnlyFans, management agencies take a further 20-50% on top of the platform's 20%.</t>
  </si>
  <si>
    <t>Oreate and Sapling agent-commission surveys; Aruna Talent agency rate guide 2026</t>
  </si>
  <si>
    <t>Observed deal data once the marketplace is running.</t>
  </si>
  <si>
    <t>Suggested tiers 4.99 / 9.99 / 24.99</t>
  </si>
  <si>
    <t>see model</t>
  </si>
  <si>
    <t>Patreon's typical patronage is quoted at $8-12/month, so the EUR 9.99 anchor sits inside the observed band. EUR 4.99 retains only 54% of our take after payment fees, against 71% at EUR 9.99: which is why the floor matters more than the take rate.</t>
  </si>
  <si>
    <t>Patreon 2024 Transparency Report; independent audits of ~1,200 creators</t>
  </si>
  <si>
    <t>Medium</t>
  </si>
  <si>
    <t>Our own tier mix after P1.</t>
  </si>
  <si>
    <t>Season pass / annual billing</t>
  </si>
  <si>
    <t>SOURCED</t>
  </si>
  <si>
    <t>Patreon reports that annual patrons churn at ONE THIRD the rate of monthly patrons. This is the single strongest piece of evidence in the plan for pushing annual billing.</t>
  </si>
  <si>
    <t>Already strong. Confirm on our own cohorts.</t>
  </si>
  <si>
    <t>FAN ECONOMICS</t>
  </si>
  <si>
    <t>Fan ARPU per month</t>
  </si>
  <si>
    <t>Patreon's average monthly support rose from $5.40 to $6.10 during 2024, with typical patronage quoted at $8-12. Our EUR 8.00-9.50 sits in the upper-middle of that range.</t>
  </si>
  <si>
    <t>Actual ARPU by tier and sport after P1.</t>
  </si>
  <si>
    <t>Fan churn per month</t>
  </si>
  <si>
    <t>OPTIMISTIC AGAINST BENCHMARK. Patreon runs 10-15% monthly. We assume 6-9% (niche) and 9-13% (popular), arguing that training content is habitual and that competitive seasons create natural renewal moments. That argument is currently untested.</t>
  </si>
  <si>
    <t>Patreon 2024 Transparency Report (10-15%/month)</t>
  </si>
  <si>
    <t>THE most important number to measure in P1. Three months of real cohorts settles it. Until then the conservative case should be treated as the plan.</t>
  </si>
  <si>
    <t>Paying fans per monetising athlete</t>
  </si>
  <si>
    <t>DERIVED</t>
  </si>
  <si>
    <t>20 rising to 48 over ten years. Cross-check: Patreon creators average $350/month and our modelled niche athlete at maturity earns about EUR 313/month, closely aligned, which is reassuring for an assumption built bottom-up rather than from a comparable.</t>
  </si>
  <si>
    <t>Patreon 2024 Transparency Report (creator average $350/month)</t>
  </si>
  <si>
    <t>Observed fans per athlete, banded by follower count.</t>
  </si>
  <si>
    <t>Share of athletes who monetise</t>
  </si>
  <si>
    <t>28% rising to 50% for niche sports. No direct comparable exists: neither Patreon nor OnlyFans publishes activation rates for creators who sign up but never charge.</t>
  </si>
  <si>
    <t>None found</t>
  </si>
  <si>
    <t>Our own activation funnel, available from P1 onward.</t>
  </si>
  <si>
    <t>Fan acquisition capacity</t>
  </si>
  <si>
    <t>An athlete can recruit 30-69 new paying fans a year depending on segment. This ceiling is what makes churn bite in the model: without it, higher churn perversely RAISED revenue, because the year-end target was reachable at any churn rate.</t>
  </si>
  <si>
    <t>None: introduced to fix a modelling flaw found by stress testing</t>
  </si>
  <si>
    <t>Observed gross adds per athlete per year.</t>
  </si>
  <si>
    <t>PAYMENT RAILS</t>
  </si>
  <si>
    <t>Stripe for a Spanish entity: 1.5% + EUR 0.25 on EEA domestic cards, 2.5% on UK cards, 3.25% on non-EEA. 1.9% is the blend for a mostly-European fan base. CORRECTION: an earlier version of this model used the US headline of 2.9% and overstated the largest cost line in the business by about a third.</t>
  </si>
  <si>
    <t>Stripe published EU/EEA pricing, 2026</t>
  </si>
  <si>
    <t>Interchange-plus terms become negotiable above roughly EUR 5M processed.</t>
  </si>
  <si>
    <t>EUR 0.25 per transaction. On a EUR 4.99 tier that single fee is a third of our take, which is why the tier floor and annual billing move more margin than the take rate does.</t>
  </si>
  <si>
    <t>Stripe published pricing, 2026</t>
  </si>
  <si>
    <t>Volume renegotiation; annual billing turns twelve fees into one.</t>
  </si>
  <si>
    <t>Payout fees</t>
  </si>
  <si>
    <t>Stripe Connect Express: roughly 0.25% + EUR 0.25 per payout, plus a monthly active-account fee that is not modelled as a separate line.</t>
  </si>
  <si>
    <t>Stripe Connect pricing, 2026</t>
  </si>
  <si>
    <t>Actual payout frequency once athletes are onboarded.</t>
  </si>
  <si>
    <t>MARKET SIZING</t>
  </si>
  <si>
    <t>Sport participation by country</t>
  </si>
  <si>
    <t>Eurobarometer 525, share who NEVER exercise: Finland 8%, Sweden 12%, Denmark 20%, Poland 65%, Greece 68%, Portugal 73%, EU-27 average 45%. Six of the 34 countries in the index are measured; the other 28 are estimates placed inside that distribution.</t>
  </si>
  <si>
    <t>Special Eurobarometer 525, Sport and Physical Activity, September 2022</t>
  </si>
  <si>
    <t>Federation licence counts, published annually and free (CSD in Spain).</t>
  </si>
  <si>
    <t>Padel market size</t>
  </si>
  <si>
    <t>Spain has ~6.0M active players (12.7% of the population), 109,040 federation licences and 17,300+ courts; globally 35M+ players and 77,000+ courts. This is the clearest case for weighting a sport regionally rather than globally, padel scores 77.7 in Spain and 45.1 worldwide.</t>
  </si>
  <si>
    <t>Annual FIP refresh.</t>
  </si>
  <si>
    <t>Sports fandom by country</t>
  </si>
  <si>
    <t>The weakest layer of the sport index, and it drives both the `demand` and `appetite` signals. Commercial audience panels (Nielsen Sports, YouGov) cost more than the entire Y1-Y2 analytics budget.</t>
  </si>
  <si>
    <t>None: reasoned estimates only</t>
  </si>
  <si>
    <t>Our own engagement data per sport per country once connectors are live. This is what makes the index self-improving rather than something anyone could copy.</t>
  </si>
  <si>
    <t>Athlete count trajectory</t>
  </si>
  <si>
    <t>250 rising to 8,500 over ten years. This is the PLAN, not a benchmark: marketing spend is derived from it at segment CAC, not the other way round. Everything in the model scales off this line.</t>
  </si>
  <si>
    <t>None: it is a target</t>
  </si>
  <si>
    <t>The pre-seed gate tests it directly: 250 athletes and the first paying sponsors.</t>
  </si>
  <si>
    <t>COSTS</t>
  </si>
  <si>
    <t>Athlete CAC</t>
  </si>
  <si>
    <t>EUR 16-36 for niche, EUR 40-88 for popular. The gap reflects displacing an existing agent relationship versus reaching someone with no representation at all. No published comparable exists for athlete acquisition in this segment.</t>
  </si>
  <si>
    <t>Measured CAC by channel from the first federation partnership.</t>
  </si>
  <si>
    <t>Admission rate, direct applicants</t>
  </si>
  <si>
    <t>20% of direct applicants are admitted, 25% go to a human, 40% are refused and 15% never finish the form. Not a judgement: it is what the admission policy itself produces when the stress test is run over a modelled applicant mix, so retuning a threshold moves this figure. The sweep holds the model and the policy in step.</t>
  </si>
  <si>
    <t>Admission stress test, section 7, over a modelled applicant mix</t>
  </si>
  <si>
    <t>Real intake data. The mix the sweep assumes is the soft part, not the arithmetic.</t>
  </si>
  <si>
    <t>Admission rate, club-nominated</t>
  </si>
  <si>
    <t>45% admitted against 20% direct. A verified club's nomination confers a credibility floor of 0.75 x its own legitimacy score, which carries a completed application over the admit line that would otherwise have gone to review. It cannot carry an empty one: no club can supply someone else's date of birth, so the uplift is real but bounded.</t>
  </si>
  <si>
    <t>None: the mechanism is built and tested, the conversion is not yet measured</t>
  </si>
  <si>
    <t>The first federation partnership: nominated applicants are tagged, so this is measurable from day one of it.</t>
  </si>
  <si>
    <t>Athlete verification cost</t>
  </si>
  <si>
    <t>Four minutes per manual review, priced at the same loaded salary the People line uses, over 1,700 productive hours. Peaks at EUR 47k and 0.64 reviewer-FTE in Y10, which is the finding rather than the cost: verification is not a money problem at this scale. The reason to automate it is latency: an athlete sitting in the queue is not listed, not matchable and not earning.</t>
  </si>
  <si>
    <t>Derived from the sweep's review volume and the model's own salary line</t>
  </si>
  <si>
    <t>Timing real reviews. Four minutes is an estimate of a mechanical task.</t>
  </si>
  <si>
    <t>Athlete CAC vs the funnel</t>
  </si>
  <si>
    <t>Deliberately NOT multiplied by the admission funnel. Segment CAC is defined as the cost of landing one athlete ON the platform, so scaling it by 1/admission-rate would charge the same money twice. The Costs sheet carries a memo line showing what that CAC works out to per application (EUR 3.40 in Y1 rising to EUR 22), the figure to hold against what a channel actually charges per name reached.</t>
  </si>
  <si>
    <t>None: this is a definitional choice, made explicit so it is not silently reversed</t>
  </si>
  <si>
    <t>Channel-level spend against applications, which the funnel now records.</t>
  </si>
  <si>
    <t>Loaded salary, Spain</t>
  </si>
  <si>
    <t>EUR 38k-76k loaded. Spanish employer social security adds roughly 31% on top of gross, so a senior engineer at ~EUR 55k gross costs ~EUR 72k, around half the London equivalent, which is a real argument for being in Spain rather than an accident of geography.</t>
  </si>
  <si>
    <t>Spanish Seguridad Social employer contribution rates</t>
  </si>
  <si>
    <t>Actual offers accepted.</t>
  </si>
  <si>
    <t>AWS infrastructure</t>
  </si>
  <si>
    <t>Built up per stage from list prices: Fargate, RDS then Aurora, ElastiCache, S3, MediaConvert, CloudWatch. Reserved capacity and Savings Plans (25-40%) are deliberately excluded and treated as upside.</t>
  </si>
  <si>
    <t>AWS published list pricing, 2026</t>
  </si>
  <si>
    <t>Actual bills; commit to Savings Plans once usage is stable.</t>
  </si>
  <si>
    <t>Media egress</t>
  </si>
  <si>
    <t>EUR 0.008/GB behind a zero-egress object store versus EUR 0.075/GB at CloudFront list price. At Y10 volumes that single architectural choice is worth over EUR 1M a year, the largest cost decision in the plan that is settled by engineering rather than negotiation.</t>
  </si>
  <si>
    <t>Cloudflare R2 and Backblaze B2 pricing; AWS CloudFront list price</t>
  </si>
  <si>
    <t>Nothing. Both are published.</t>
  </si>
  <si>
    <t>Moderation cost</t>
  </si>
  <si>
    <t>EUR 22 per 1,000 items reviewed, on a hybrid of automated classification and human review. Vendor pricing varies widely with SLA and content type.</t>
  </si>
  <si>
    <t>None cited</t>
  </si>
  <si>
    <t>Vendor quotes once P2 scope is fixed.</t>
  </si>
  <si>
    <t>TAX, CAPITAL &amp; VALUATION</t>
  </si>
  <si>
    <t>Corporate tax rates</t>
  </si>
  <si>
    <t>15% for the first four profitable years under the Spanish Startup Law, then the 25% standard rate. Modelled with loss carryforward against the Y1-Y4 losses.</t>
  </si>
  <si>
    <t>Ley de Startups (Spain); Impuesto sobre Sociedades</t>
  </si>
  <si>
    <t>Confirm eligibility with a Spanish tax adviser before filing.</t>
  </si>
  <si>
    <t>Risk-free rate</t>
  </si>
  <si>
    <t>Spanish 10-year sovereign yield, ~3.2% in mid-2026. Used as the floor for the founder opportunity-cost calculation rather than as the discount rate.</t>
  </si>
  <si>
    <t>Spanish 10Y government bond yield</t>
  </si>
  <si>
    <t>Refresh at the date of any raise.</t>
  </si>
  <si>
    <t>25%, against a published mature-company anchor of 6.01%. Damodaran's European cost of capital dataset puts Software (Internet) at 6.01% in euros across 23 listed firms, and the European market ex-financials at 6.59%. Those are costs of capital for mature listed companies; this is a pre-revenue venture, and the 19-point gap is the stage premium. It is stated rather than buried because it is the largest single judgement in the valuation. Damodaran publishes no dataset for venture-stage rates, so the premium itself is convention (20-35% is the usual range) and not a sourced figure. The sensitivity grid runs 20-30% because this is arguable rather than knowable.</t>
  </si>
  <si>
    <t>Aswath Damodaran, NYU Stern, Cost of Capital by Industry (Europe), updated 5 January 2026</t>
  </si>
  <si>
    <t>An actual term sheet prices this for you.</t>
  </si>
  <si>
    <t>6.5x blended. Marketplace comparables trade around 4x revenue and high-growth SaaS around 9x; our Y10 mix is roughly 55% marketplace take and 12% SaaS.</t>
  </si>
  <si>
    <t>Public marketplace and SaaS trading multiples</t>
  </si>
  <si>
    <t>Comparable private transactions nearer an exit.</t>
  </si>
  <si>
    <t>3%, approximating long-run nominal GDP. Ten explicit forecast years were chosen partly so this assumption carries less of the valuation than it would at Y7.</t>
  </si>
  <si>
    <t>Standard DCF convention</t>
  </si>
  <si>
    <t>Nothing: it is a convention, and the grid shows its effect.</t>
  </si>
  <si>
    <t>COMPLIANCE</t>
  </si>
  <si>
    <t>Payout age floor</t>
  </si>
  <si>
    <t>Stripe Express and Custom Connect require 18. Standard Connect allows 13+, but a legal guardian must own the account and hold the bank account the money lands in.</t>
  </si>
  <si>
    <t>Stripe Connect documentation</t>
  </si>
  <si>
    <t>Nothing: it is a hard platform rule.</t>
  </si>
  <si>
    <t>Digital consent age, Spain</t>
  </si>
  <si>
    <t>14 today under LOPDGDD Art. 7. A draft Organic Law on the Protection of Minors in Digital Environments would raise it to 16 and make age verification mandatory, which is why 16 is the forward-compatible floor for an account.</t>
  </si>
  <si>
    <t>LOPDGDD Art. 7; draft Organic Law, Council of Ministers, March 2025</t>
  </si>
  <si>
    <t>Track the bill through Parliament.</t>
  </si>
  <si>
    <t>THE THREE ASSUMPTIONS MOST LIKELY TO BE WRONG</t>
  </si>
  <si>
    <t>1. Fan churn. We assume 6-13%/month; Patreon reports 10-15%. If Patreon is right, Y10 revenue falls from about EUR 58M to EUR 51M and the capital requirement roughly doubles.</t>
  </si>
  <si>
    <t>2. Athlete count. The trajectory is a target, not a forecast, and everything scales off it.</t>
  </si>
  <si>
    <t>3. Share of athletes who monetise. No published comparable exists at all.</t>
  </si>
  <si>
    <t>All three are answered by the same thing: three months of real cohort data from P1.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</si>
</sst>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
    <numFmt numFmtId="165" formatCode="&quot;€&quot;#,##0.00;[Red]\(&quot;€&quot;#,##0.00\)"/>
    <numFmt numFmtId="166" formatCode="0.0"/>
    <numFmt numFmtId="167" formatCode="&quot;€&quot;#,##0;[Red]\(&quot;€&quot;#,##0\)"/>
    <numFmt numFmtId="168" formatCode="&quot;€&quot;#,##0.000"/>
    <numFmt numFmtId="169" formatCode="0.000"/>
    <numFmt numFmtId="170" formatCode="0.000%"/>
    <numFmt numFmtId="171" formatCode="#,##0.000"/>
    <numFmt numFmtId="172" formatCode="#,##0.0"/>
    <numFmt numFmtId="173" formatCode="0.00&quot;x&quot;"/>
  </numFmts>
  <fonts count="31">
    <font>
      <sz val="11"/>
      <color theme="1"/>
      <name val="Calibri"/>
      <family val="2"/>
      <scheme val="minor"/>
    </font>
    <font>
      <b/>
      <sz val="13"/>
      <color rgb="FF14100A"/>
      <name val="Calibri"/>
    </font>
    <font>
      <b/>
      <sz val="10"/>
      <name val="Calibri"/>
    </font>
    <font>
      <b/>
      <sz val="9"/>
      <color rgb="FF8A5200"/>
      <name val="Calibri"/>
    </font>
    <font>
      <u/>
      <sz val="11"/>
      <color rgb="FF1F4E9C"/>
      <name val="Calibri"/>
    </font>
    <font>
      <b/>
      <sz val="10"/>
      <color rgb="FFFFFFFF"/>
      <name val="Calibri"/>
    </font>
    <font>
      <b/>
      <sz val="10"/>
      <color rgb="FF8A5200"/>
      <name val="Calibri"/>
    </font>
    <font>
      <sz val="10"/>
      <name val="Calibri"/>
    </font>
    <font>
      <sz val="9"/>
      <color rgb="FF6B7480"/>
      <name val="Calibri"/>
    </font>
    <font>
      <sz val="10"/>
      <color rgb="FF1F4E9C"/>
      <name val="Calibri"/>
    </font>
    <font>
      <sz val="10"/>
      <color rgb="FF1E7A3C"/>
      <name val="Calibri"/>
    </font>
    <font>
      <i/>
      <sz val="8"/>
      <color rgb="FF6B7480"/>
      <name val="Calibri"/>
    </font>
    <font>
      <i/>
      <sz val="8"/>
      <color rgb="FF1E7A3C"/>
      <name val="Calibri"/>
    </font>
    <font>
      <sz val="10"/>
      <color rgb="FF8A5200"/>
      <name val="Calibri"/>
    </font>
    <font>
      <b/>
      <sz val="10"/>
      <color rgb="FF1A1A1A"/>
      <name val="Calibri"/>
    </font>
    <font>
      <sz val="10"/>
      <color rgb="FF1A1A1A"/>
      <name val="Calibri"/>
    </font>
    <font>
      <b/>
      <sz val="10"/>
      <color rgb="FF1E7A3C"/>
      <name val="Calibri"/>
    </font>
    <font>
      <b/>
      <sz val="10"/>
      <color rgb="FFB3272D"/>
      <name val="Calibri"/>
    </font>
    <font>
      <i/>
      <sz val="8"/>
      <color rgb="FF6B7280"/>
      <name val="Calibri"/>
    </font>
    <font>
      <i/>
      <sz val="9"/>
      <color rgb="FF6B7480"/>
      <name val="Calibri"/>
    </font>
    <font>
      <sz val="9"/>
      <color rgb="FF4A525E"/>
      <name val="Calibri"/>
    </font>
    <font>
      <sz val="9"/>
      <name val="Calibri"/>
    </font>
    <font>
      <u/>
      <sz val="9"/>
      <color rgb="FF1F4E9C"/>
      <name val="Calibri"/>
    </font>
    <font>
      <b/>
      <sz val="8"/>
      <color rgb="FF1F4E9C"/>
      <name val="Calibri"/>
    </font>
    <font>
      <b/>
      <sz val="9"/>
      <color rgb="FF1F4E9C"/>
      <name val="Calibri"/>
    </font>
    <font>
      <b/>
      <sz val="9"/>
      <name val="Calibri"/>
    </font>
    <font>
      <b/>
      <sz val="9"/>
      <color rgb="FFB3272D"/>
      <name val="Calibri"/>
    </font>
    <font>
      <b/>
      <sz val="9"/>
      <color rgb="FF1E7A3C"/>
      <name val="Calibri"/>
    </font>
    <font>
      <b/>
      <sz val="9"/>
      <color rgb="FF1A1A1A"/>
      <name val="Calibri"/>
    </font>
    <font>
      <b/>
      <sz val="11"/>
      <color rgb="FFB3272D"/>
      <name val="Calibri"/>
    </font>
    <font>
      <i/>
      <sz val="9"/>
      <name val="Calibri"/>
    </font>
  </fonts>
  <fills count="13">
    <fill>
      <patternFill patternType="none"/>
    </fill>
    <fill>
      <patternFill patternType="gray125"/>
    </fill>
    <fill>
      <patternFill patternType="solid">
        <fgColor rgb="FFDCE9F7"/>
      </patternFill>
    </fill>
    <fill>
      <patternFill patternType="solid">
        <fgColor rgb="FFFDF0D5"/>
      </patternFill>
    </fill>
    <fill>
      <patternFill patternType="solid">
        <fgColor rgb="FFE4F2E4"/>
      </patternFill>
    </fill>
    <fill>
      <patternFill patternType="solid">
        <fgColor rgb="FFEDF0F5"/>
      </patternFill>
    </fill>
    <fill>
      <patternFill patternType="solid">
        <fgColor rgb="FFFBE3E3"/>
      </patternFill>
    </fill>
    <fill>
      <patternFill patternType="solid">
        <fgColor rgb="FF14181F"/>
      </patternFill>
    </fill>
    <fill>
      <patternFill patternType="solid">
        <fgColor rgb="FFFFF4DE"/>
      </patternFill>
    </fill>
    <fill>
      <patternFill patternType="solid">
        <fgColor rgb="FFFFFFFF"/>
      </patternFill>
    </fill>
    <fill>
      <patternFill patternType="solid">
        <fgColor rgb="FFE8E4F5"/>
      </patternFill>
    </fill>
    <fill>
      <patternFill patternType="solid">
        <fgColor rgb="FFF7E8EC"/>
      </patternFill>
    </fill>
    <fill>
      <patternFill patternType="solid">
        <fgColor rgb="FFF2EDE2"/>
      </patternFill>
    </fill>
  </fills>
  <borders count="4">
    <border>
      <left/>
      <right/>
      <top/>
      <bottom/>
      <diagonal/>
    </border>
    <border>
      <left style="thin">
        <color rgb="FFD8DEE7"/>
      </left>
      <right style="thin">
        <color rgb="FFD8DEE7"/>
      </right>
      <top style="thin">
        <color rgb="FFD8DEE7"/>
      </top>
      <bottom style="thin">
        <color rgb="FFD8DEE7"/>
      </bottom>
      <diagonal/>
    </border>
    <border>
      <left/>
      <right/>
      <top style="medium">
        <color rgb="FF14181F"/>
      </top>
      <bottom/>
      <diagonal/>
    </border>
    <border>
      <left/>
      <right style="thin">
        <color rgb="FFD8DEE7"/>
      </right>
      <top style="thin">
        <color rgb="FFD8DEE7"/>
      </top>
      <bottom style="thin">
        <color rgb="FFD8DEE7"/>
      </bottom>
      <diagonal/>
    </border>
  </borders>
  <cellStyleXfs count="1">
    <xf numFmtId="0" fontId="0" fillId="0" borderId="0"/>
  </cellStyleXfs>
  <cellXfs count="1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7" borderId="0" xfId="0" applyFont="1" applyFill="1"/>
    <xf numFmtId="0" fontId="5" fillId="7" borderId="0" xfId="0" applyFont="1" applyFill="1" applyAlignment="1">
      <alignment horizontal="center"/>
    </xf>
    <xf numFmtId="0" fontId="6" fillId="8" borderId="0" xfId="0" applyFont="1" applyFill="1"/>
    <xf numFmtId="0" fontId="0" fillId="8" borderId="0" xfId="0" applyFill="1"/>
    <xf numFmtId="0" fontId="7" fillId="0" borderId="0" xfId="0" applyFont="1"/>
    <xf numFmtId="0" fontId="8" fillId="0" borderId="0" xfId="0" applyFont="1"/>
    <xf numFmtId="3" fontId="9" fillId="2" borderId="1" xfId="0" applyNumberFormat="1" applyFont="1" applyFill="1" applyBorder="1"/>
    <xf numFmtId="164" fontId="9" fillId="2" borderId="1" xfId="0" applyNumberFormat="1" applyFont="1" applyFill="1" applyBorder="1"/>
    <xf numFmtId="3" fontId="10" fillId="4" borderId="1" xfId="0" applyNumberFormat="1" applyFont="1" applyFill="1" applyBorder="1"/>
    <xf numFmtId="0" fontId="11" fillId="0" borderId="0" xfId="0" applyFont="1"/>
    <xf numFmtId="0" fontId="12" fillId="0" borderId="0" xfId="0" applyFont="1"/>
    <xf numFmtId="165" fontId="9" fillId="2" borderId="1" xfId="0" applyNumberFormat="1" applyFont="1" applyFill="1" applyBorder="1"/>
    <xf numFmtId="166" fontId="9" fillId="2" borderId="1" xfId="0" applyNumberFormat="1" applyFont="1" applyFill="1" applyBorder="1"/>
    <xf numFmtId="167" fontId="9" fillId="2" borderId="1" xfId="0" applyNumberFormat="1" applyFont="1" applyFill="1" applyBorder="1"/>
    <xf numFmtId="164" fontId="10" fillId="4" borderId="1" xfId="0" applyNumberFormat="1" applyFont="1" applyFill="1" applyBorder="1"/>
    <xf numFmtId="2" fontId="9" fillId="2" borderId="1" xfId="0" applyNumberFormat="1" applyFont="1" applyFill="1" applyBorder="1"/>
    <xf numFmtId="2" fontId="10" fillId="4" borderId="1" xfId="0" applyNumberFormat="1" applyFont="1" applyFill="1" applyBorder="1"/>
    <xf numFmtId="167" fontId="10" fillId="4" borderId="1" xfId="0" applyNumberFormat="1" applyFont="1" applyFill="1" applyBorder="1"/>
    <xf numFmtId="10" fontId="13" fillId="3" borderId="1" xfId="0" applyNumberFormat="1" applyFont="1" applyFill="1" applyBorder="1"/>
    <xf numFmtId="10" fontId="10" fillId="4" borderId="1" xfId="0" applyNumberFormat="1" applyFont="1" applyFill="1" applyBorder="1"/>
    <xf numFmtId="165" fontId="13" fillId="3" borderId="1" xfId="0" applyNumberFormat="1" applyFont="1" applyFill="1" applyBorder="1"/>
    <xf numFmtId="165" fontId="10" fillId="4" borderId="1" xfId="0" applyNumberFormat="1" applyFont="1" applyFill="1" applyBorder="1"/>
    <xf numFmtId="166" fontId="10" fillId="4" borderId="1" xfId="0" applyNumberFormat="1" applyFont="1" applyFill="1" applyBorder="1"/>
    <xf numFmtId="168" fontId="13" fillId="3" borderId="1" xfId="0" applyNumberFormat="1" applyFont="1" applyFill="1" applyBorder="1"/>
    <xf numFmtId="168" fontId="10" fillId="4" borderId="1" xfId="0" applyNumberFormat="1" applyFont="1" applyFill="1" applyBorder="1"/>
    <xf numFmtId="167" fontId="13" fillId="3" borderId="1" xfId="0" applyNumberFormat="1" applyFont="1" applyFill="1" applyBorder="1"/>
    <xf numFmtId="10" fontId="9" fillId="2" borderId="1" xfId="0" applyNumberFormat="1" applyFont="1" applyFill="1" applyBorder="1"/>
    <xf numFmtId="1" fontId="9" fillId="2" borderId="1" xfId="0" applyNumberFormat="1" applyFont="1" applyFill="1" applyBorder="1"/>
    <xf numFmtId="1" fontId="10" fillId="4" borderId="1" xfId="0" applyNumberFormat="1" applyFont="1" applyFill="1" applyBorder="1"/>
    <xf numFmtId="164" fontId="13" fillId="3" borderId="1" xfId="0" applyNumberFormat="1" applyFont="1" applyFill="1" applyBorder="1"/>
    <xf numFmtId="1" fontId="13" fillId="3" borderId="1" xfId="0" applyNumberFormat="1" applyFont="1" applyFill="1" applyBorder="1"/>
    <xf numFmtId="0" fontId="2" fillId="5" borderId="0" xfId="0" applyFont="1" applyFill="1"/>
    <xf numFmtId="0" fontId="8" fillId="5" borderId="0" xfId="0" applyFont="1" applyFill="1"/>
    <xf numFmtId="164" fontId="14" fillId="5" borderId="1" xfId="0" applyNumberFormat="1" applyFont="1" applyFill="1" applyBorder="1"/>
    <xf numFmtId="3" fontId="15" fillId="9" borderId="1" xfId="0" applyNumberFormat="1" applyFont="1" applyFill="1" applyBorder="1"/>
    <xf numFmtId="169" fontId="10" fillId="4" borderId="1" xfId="0" applyNumberFormat="1" applyFont="1" applyFill="1" applyBorder="1"/>
    <xf numFmtId="3" fontId="14" fillId="5" borderId="1" xfId="0" applyNumberFormat="1" applyFont="1" applyFill="1" applyBorder="1"/>
    <xf numFmtId="169" fontId="15" fillId="9" borderId="1" xfId="0" applyNumberFormat="1" applyFont="1" applyFill="1" applyBorder="1"/>
    <xf numFmtId="167" fontId="14" fillId="5" borderId="1" xfId="0" applyNumberFormat="1" applyFont="1" applyFill="1" applyBorder="1"/>
    <xf numFmtId="170" fontId="16" fillId="5" borderId="1" xfId="0" applyNumberFormat="1" applyFont="1" applyFill="1" applyBorder="1"/>
    <xf numFmtId="0" fontId="2" fillId="5" borderId="2" xfId="0" applyFont="1" applyFill="1" applyBorder="1"/>
    <xf numFmtId="167" fontId="14" fillId="5" borderId="2" xfId="0" applyNumberFormat="1" applyFont="1" applyFill="1" applyBorder="1"/>
    <xf numFmtId="167" fontId="15" fillId="9" borderId="1" xfId="0" applyNumberFormat="1" applyFont="1" applyFill="1" applyBorder="1"/>
    <xf numFmtId="164" fontId="15" fillId="9" borderId="1" xfId="0" applyNumberFormat="1" applyFont="1" applyFill="1" applyBorder="1"/>
    <xf numFmtId="167" fontId="16" fillId="5" borderId="1" xfId="0" applyNumberFormat="1" applyFont="1" applyFill="1" applyBorder="1"/>
    <xf numFmtId="167" fontId="17" fillId="5" borderId="2" xfId="0" applyNumberFormat="1" applyFont="1" applyFill="1" applyBorder="1"/>
    <xf numFmtId="167" fontId="2" fillId="0" borderId="0" xfId="0" applyNumberFormat="1" applyFont="1"/>
    <xf numFmtId="164" fontId="2" fillId="0" borderId="0" xfId="0" applyNumberFormat="1" applyFont="1"/>
    <xf numFmtId="164" fontId="5" fillId="7" borderId="0" xfId="0" applyNumberFormat="1" applyFont="1" applyFill="1"/>
    <xf numFmtId="164" fontId="9" fillId="2" borderId="0" xfId="0" applyNumberFormat="1" applyFont="1" applyFill="1"/>
    <xf numFmtId="167" fontId="15" fillId="9" borderId="0" xfId="0" applyNumberFormat="1" applyFont="1" applyFill="1"/>
    <xf numFmtId="0" fontId="19" fillId="0" borderId="0" xfId="0" applyFont="1"/>
    <xf numFmtId="0" fontId="11" fillId="0" borderId="0" xfId="0" applyFont="1" applyAlignment="1">
      <alignment vertical="top" wrapText="1"/>
    </xf>
    <xf numFmtId="166" fontId="14" fillId="5" borderId="2" xfId="0" applyNumberFormat="1" applyFont="1" applyFill="1" applyBorder="1"/>
    <xf numFmtId="167" fontId="10" fillId="9" borderId="1" xfId="0" applyNumberFormat="1" applyFont="1" applyFill="1" applyBorder="1"/>
    <xf numFmtId="0" fontId="18" fillId="0" borderId="0" xfId="0" applyFont="1"/>
    <xf numFmtId="2" fontId="15" fillId="9" borderId="1" xfId="0" applyNumberFormat="1" applyFont="1" applyFill="1" applyBorder="1"/>
    <xf numFmtId="166" fontId="14" fillId="5" borderId="1" xfId="0" applyNumberFormat="1" applyFont="1" applyFill="1" applyBorder="1"/>
    <xf numFmtId="166" fontId="15" fillId="9" borderId="1" xfId="0" applyNumberFormat="1" applyFont="1" applyFill="1" applyBorder="1"/>
    <xf numFmtId="0" fontId="18" fillId="8" borderId="0" xfId="0" applyFont="1" applyFill="1"/>
    <xf numFmtId="165" fontId="15" fillId="9" borderId="1" xfId="0" applyNumberFormat="1" applyFont="1" applyFill="1" applyBorder="1"/>
    <xf numFmtId="165" fontId="14" fillId="5" borderId="2" xfId="0" applyNumberFormat="1" applyFont="1" applyFill="1" applyBorder="1"/>
    <xf numFmtId="0" fontId="5" fillId="7" borderId="0" xfId="0" applyFont="1" applyFill="1" applyAlignment="1">
      <alignment horizontal="center" wrapText="1"/>
    </xf>
    <xf numFmtId="0" fontId="7" fillId="0" borderId="1" xfId="0" applyFont="1" applyBorder="1"/>
    <xf numFmtId="3" fontId="13" fillId="3" borderId="1" xfId="0" applyNumberFormat="1" applyFont="1" applyFill="1" applyBorder="1"/>
    <xf numFmtId="0" fontId="20" fillId="0" borderId="1" xfId="0" applyFont="1" applyBorder="1" applyAlignment="1">
      <alignment vertical="top" wrapText="1"/>
    </xf>
    <xf numFmtId="171" fontId="13" fillId="3" borderId="1" xfId="0" applyNumberFormat="1" applyFont="1" applyFill="1" applyBorder="1"/>
    <xf numFmtId="0" fontId="6" fillId="0" borderId="0" xfId="0" applyFont="1"/>
    <xf numFmtId="164" fontId="13" fillId="3" borderId="0" xfId="0" applyNumberFormat="1" applyFont="1" applyFill="1"/>
    <xf numFmtId="165" fontId="13" fillId="3" borderId="0" xfId="0" applyNumberFormat="1" applyFont="1" applyFill="1"/>
    <xf numFmtId="0" fontId="20" fillId="0" borderId="0" xfId="0" applyFont="1"/>
    <xf numFmtId="4" fontId="13" fillId="3" borderId="0" xfId="0" applyNumberFormat="1" applyFont="1" applyFill="1"/>
    <xf numFmtId="0" fontId="2" fillId="0" borderId="1" xfId="0" applyFont="1" applyBorder="1"/>
    <xf numFmtId="1" fontId="2" fillId="5" borderId="1" xfId="0" applyNumberFormat="1" applyFont="1" applyFill="1" applyBorder="1"/>
    <xf numFmtId="172" fontId="2" fillId="5" borderId="1" xfId="0" applyNumberFormat="1" applyFont="1" applyFill="1" applyBorder="1"/>
    <xf numFmtId="167" fontId="2" fillId="5" borderId="1" xfId="0" applyNumberFormat="1" applyFont="1" applyFill="1" applyBorder="1"/>
    <xf numFmtId="167" fontId="13" fillId="3" borderId="0" xfId="0" applyNumberFormat="1" applyFont="1" applyFill="1"/>
    <xf numFmtId="0" fontId="20" fillId="0" borderId="0" xfId="0" applyFont="1" applyAlignment="1">
      <alignment vertical="top" wrapText="1"/>
    </xf>
    <xf numFmtId="167" fontId="2" fillId="5" borderId="0" xfId="0" applyNumberFormat="1" applyFont="1" applyFill="1"/>
    <xf numFmtId="173" fontId="2" fillId="5" borderId="0" xfId="0" applyNumberFormat="1" applyFont="1" applyFill="1"/>
    <xf numFmtId="0" fontId="21" fillId="0" borderId="0" xfId="0" applyFont="1"/>
    <xf numFmtId="166" fontId="2" fillId="5" borderId="1" xfId="0" applyNumberFormat="1" applyFont="1" applyFill="1" applyBorder="1"/>
    <xf numFmtId="165" fontId="2" fillId="5" borderId="1" xfId="0" applyNumberFormat="1" applyFont="1" applyFill="1" applyBorder="1"/>
    <xf numFmtId="164" fontId="2" fillId="5" borderId="1" xfId="0" applyNumberFormat="1" applyFont="1" applyFill="1" applyBorder="1"/>
    <xf numFmtId="172" fontId="9" fillId="2" borderId="1" xfId="0" applyNumberFormat="1" applyFont="1" applyFill="1" applyBorder="1"/>
    <xf numFmtId="3" fontId="2" fillId="5" borderId="1" xfId="0" applyNumberFormat="1" applyFont="1" applyFill="1" applyBorder="1"/>
    <xf numFmtId="0" fontId="5" fillId="7" borderId="0" xfId="0" applyFont="1" applyFill="1" applyAlignment="1">
      <alignment horizontal="center" vertical="center" wrapText="1"/>
    </xf>
    <xf numFmtId="0" fontId="24" fillId="0" borderId="1" xfId="0" applyFont="1" applyBorder="1"/>
    <xf numFmtId="0" fontId="21" fillId="0" borderId="1" xfId="0" applyFont="1" applyBorder="1" applyAlignment="1">
      <alignment vertical="top" wrapText="1"/>
    </xf>
    <xf numFmtId="0" fontId="25" fillId="10" borderId="1" xfId="0" applyFont="1" applyFill="1" applyBorder="1" applyAlignment="1">
      <alignment horizontal="center"/>
    </xf>
    <xf numFmtId="0" fontId="26" fillId="0" borderId="1" xfId="0" applyFont="1" applyBorder="1"/>
    <xf numFmtId="0" fontId="25" fillId="11" borderId="1" xfId="0" applyFont="1" applyFill="1" applyBorder="1" applyAlignment="1">
      <alignment horizontal="center"/>
    </xf>
    <xf numFmtId="0" fontId="19" fillId="0" borderId="1" xfId="0" applyFont="1" applyBorder="1"/>
    <xf numFmtId="0" fontId="25" fillId="12" borderId="1" xfId="0" applyFont="1" applyFill="1" applyBorder="1" applyAlignment="1">
      <alignment horizontal="center"/>
    </xf>
    <xf numFmtId="0" fontId="27" fillId="0" borderId="1" xfId="0" applyFont="1" applyBorder="1"/>
    <xf numFmtId="0" fontId="28" fillId="0" borderId="1" xfId="0" applyFont="1" applyBorder="1"/>
    <xf numFmtId="0" fontId="29" fillId="0" borderId="0" xfId="0" applyFont="1"/>
    <xf numFmtId="0" fontId="23" fillId="2" borderId="1" xfId="0" applyFont="1" applyFill="1" applyBorder="1" applyAlignment="1">
      <alignment horizontal="center"/>
    </xf>
    <xf numFmtId="0" fontId="30" fillId="0" borderId="0" xfId="0" applyFont="1" applyAlignment="1">
      <alignment vertical="top" wrapText="1"/>
    </xf>
    <xf numFmtId="0" fontId="2" fillId="2" borderId="0" xfId="0" applyFont="1" applyFill="1"/>
    <xf numFmtId="0" fontId="2" fillId="3" borderId="0" xfId="0" applyFont="1" applyFill="1"/>
    <xf numFmtId="0" fontId="2" fillId="4" borderId="0" xfId="0" applyFont="1" applyFill="1"/>
    <xf numFmtId="0" fontId="2" fillId="6" borderId="0" xfId="0" applyFont="1" applyFill="1"/>
    <xf numFmtId="0" fontId="19" fillId="0" borderId="0" xfId="0" applyFont="1" applyAlignment="1"/>
    <xf numFmtId="0" fontId="0" fillId="0" borderId="0" xfId="0" applyAlignment="1"/>
    <xf numFmtId="0" fontId="22" fillId="0" borderId="0" xfId="0" applyFont="1" applyAlignment="1"/>
    <xf numFmtId="0" fontId="0" fillId="0" borderId="3" xfId="0" applyBorder="1" applyAlignment="1"/>
    <xf numFmtId="0" fontId="2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xml version="1.0" encoding="UTF-8" standalone="yes"?>
<Relationships xmlns="http://schemas.openxmlformats.org/package/2006/relationships"><Relationship Id="rId8" Type="http://schemas.openxmlformats.org/officeDocument/2006/relationships/hyperlink" Target="https://imgix.cosmicjs.com/cd844850-97c7-11f0-91fa-d9e1671c2776-NBPA-REGULATIONS-GOVERNING-PLAYER-AGENTS-09-2025.pdf" TargetMode="External"/><Relationship Id="rId13" Type="http://schemas.openxmlformats.org/officeDocument/2006/relationships/hyperlink" Target="https://stripe.com/es/pricing" TargetMode="External"/><Relationship Id="rId18" Type="http://schemas.openxmlformats.org/officeDocument/2006/relationships/hyperlink" Target="https://pitchbook.com/profiles/company/169635-43" TargetMode="External"/><Relationship Id="rId3" Type="http://schemas.openxmlformats.org/officeDocument/2006/relationships/hyperlink" Target="https://www.patreon.com/pricing" TargetMode="External"/><Relationship Id="rId21" Type="http://schemas.openxmlformats.org/officeDocument/2006/relationships/hyperlink" Target="https://www.sportspro.com/news/sponsorship-marketing/sports-sponsorship-european-market-valuation-esa-march-2026/" TargetMode="External"/><Relationship Id="rId7" Type="http://schemas.openxmlformats.org/officeDocument/2006/relationships/hyperlink" Target="https://arunatalent.com/blog/onlyfans-agency-commission-rates/" TargetMode="External"/><Relationship Id="rId12" Type="http://schemas.openxmlformats.org/officeDocument/2006/relationships/hyperlink" Target="https://www.padelfip.com/2025/12/online-the-fip-world-padel-report-2025-a-comprehensive-analysis-of-a-sport-in-constant-growth/" TargetMode="External"/><Relationship Id="rId17" Type="http://schemas.openxmlformats.org/officeDocument/2006/relationships/hyperlink" Target="https://pitchbook.com/profiles/company/113575-96" TargetMode="External"/><Relationship Id="rId25" Type="http://schemas.openxmlformats.org/officeDocument/2006/relationships/hyperlink" Target="https://www.saas-capital.com/blog-posts/revenue-per-employee-benchmarks-for-private-saas-companies/" TargetMode="External"/><Relationship Id="rId2" Type="http://schemas.openxmlformats.org/officeDocument/2006/relationships/hyperlink" Target="https://variety.com/2025/digital/news/onlyfans-fiscal-2024-revenue-earnings-1236495750/" TargetMode="External"/><Relationship Id="rId16" Type="http://schemas.openxmlformats.org/officeDocument/2006/relationships/hyperlink" Target="https://pitchbook.com/profiles/company/103066-39" TargetMode="External"/><Relationship Id="rId20" Type="http://schemas.openxmlformats.org/officeDocument/2006/relationships/hyperlink" Target="https://sponsorship.org/european-sponsorship-market-reaches-e34-45bn-in-2025-as-growth-continues-across-all-sectors/" TargetMode="External"/><Relationship Id="rId1" Type="http://schemas.openxmlformats.org/officeDocument/2006/relationships/hyperlink" Target="https://find-and-update.company-information.service.gov.uk/company/10354575/filing-history" TargetMode="External"/><Relationship Id="rId6" Type="http://schemas.openxmlformats.org/officeDocument/2006/relationships/hyperlink" Target="https://auth.fanfix.io/creator-terms-of-use" TargetMode="External"/><Relationship Id="rId11" Type="http://schemas.openxmlformats.org/officeDocument/2006/relationships/hyperlink" Target="https://europa.eu/eurobarometer/surveys/detail/2668" TargetMode="External"/><Relationship Id="rId24" Type="http://schemas.openxmlformats.org/officeDocument/2006/relationships/hyperlink" Target="https://www.statista.com/statistics/1413187/impact-subscriptions-sports-content-consumption/" TargetMode="External"/><Relationship Id="rId5" Type="http://schemas.openxmlformats.org/officeDocument/2006/relationships/hyperlink" Target="https://sacra.com/c/passes/" TargetMode="External"/><Relationship Id="rId15" Type="http://schemas.openxmlformats.org/officeDocument/2006/relationships/hyperlink" Target="https://support.stripe.com/questions/age-requirement-to-create-a-stripe-account" TargetMode="External"/><Relationship Id="rId23" Type="http://schemas.openxmlformats.org/officeDocument/2006/relationships/hyperlink" Target="https://www.statista.com/statistics/1660170/time-spent-weekly-watching-sports-formats-by-channel/" TargetMode="External"/><Relationship Id="rId10" Type="http://schemas.openxmlformats.org/officeDocument/2006/relationships/hyperlink" Target="https://inside.fifa.com/news/welcomes-court-of-justice-european-union-decision-football-agent-regulations" TargetMode="External"/><Relationship Id="rId19" Type="http://schemas.openxmlformats.org/officeDocument/2006/relationships/hyperlink" Target="https://pitchbook.com/profiles/company/55307-17" TargetMode="External"/><Relationship Id="rId4" Type="http://schemas.openxmlformats.org/officeDocument/2006/relationships/hyperlink" Target="https://backlinko.com/patreon-users" TargetMode="External"/><Relationship Id="rId9" Type="http://schemas.openxmlformats.org/officeDocument/2006/relationships/hyperlink" Target="https://digitalhub.fifa.com/m/1e7b741fa0fae779/original/FIFA-Football-Agent-Regulations.pdf" TargetMode="External"/><Relationship Id="rId14" Type="http://schemas.openxmlformats.org/officeDocument/2006/relationships/hyperlink" Target="https://www.publicisgroupe.com/en/news/press-releases/publicis-sports-and-travis-kelce-s-tekta-join-forces-to-reimagine-the-future-of-nil-marketing" TargetMode="External"/><Relationship Id="rId22" Type="http://schemas.openxmlformats.org/officeDocument/2006/relationships/hyperlink" Target="https://www.statista.com/statistics/1430225/sports-sponsorship-market-size-euro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0"/>
  <sheetViews>
    <sheetView showGridLines="0" topLeftCell="A25" workbookViewId="0"/>
  </sheetViews>
  <sheetFormatPr defaultRowHeight="14.45"/>
  <cols>
    <col min="1" max="1" width="34" customWidth="1"/>
    <col min="2" max="2" width="86" customWidth="1"/>
  </cols>
  <sheetData>
    <row r="1" spans="1:2" ht="17.100000000000001">
      <c r="A1" s="1" t="s">
        <v>0</v>
      </c>
    </row>
    <row r="3" spans="1:2">
      <c r="A3" s="2" t="s">
        <v>1</v>
      </c>
    </row>
    <row r="5" spans="1:2">
      <c r="A5" s="2" t="s">
        <v>2</v>
      </c>
    </row>
    <row r="6" spans="1:2">
      <c r="A6" s="104" t="s">
        <v>3</v>
      </c>
      <c r="B6" t="s">
        <v>4</v>
      </c>
    </row>
    <row r="7" spans="1:2">
      <c r="A7" s="105" t="s">
        <v>5</v>
      </c>
      <c r="B7" t="s">
        <v>6</v>
      </c>
    </row>
    <row r="8" spans="1:2">
      <c r="A8" s="2" t="s">
        <v>7</v>
      </c>
      <c r="B8" t="s">
        <v>8</v>
      </c>
    </row>
    <row r="9" spans="1:2">
      <c r="A9" s="106" t="s">
        <v>9</v>
      </c>
      <c r="B9" t="s">
        <v>10</v>
      </c>
    </row>
    <row r="10" spans="1:2">
      <c r="A10" s="36" t="s">
        <v>11</v>
      </c>
      <c r="B10" t="s">
        <v>12</v>
      </c>
    </row>
    <row r="11" spans="1:2">
      <c r="A11" s="107" t="s">
        <v>13</v>
      </c>
      <c r="B11" t="s">
        <v>14</v>
      </c>
    </row>
    <row r="13" spans="1:2">
      <c r="A13" s="2" t="s">
        <v>15</v>
      </c>
    </row>
    <row r="14" spans="1:2">
      <c r="A14" s="3" t="s">
        <v>16</v>
      </c>
    </row>
    <row r="15" spans="1:2">
      <c r="A15" s="4" t="s">
        <v>17</v>
      </c>
      <c r="B15" t="s">
        <v>18</v>
      </c>
    </row>
    <row r="17" spans="1:2">
      <c r="A17" s="3" t="s">
        <v>19</v>
      </c>
    </row>
    <row r="18" spans="1:2">
      <c r="A18" s="4" t="s">
        <v>20</v>
      </c>
      <c r="B18" t="s">
        <v>21</v>
      </c>
    </row>
    <row r="19" spans="1:2">
      <c r="A19" s="4" t="s">
        <v>22</v>
      </c>
      <c r="B19" t="s">
        <v>23</v>
      </c>
    </row>
    <row r="20" spans="1:2">
      <c r="A20" s="4" t="s">
        <v>24</v>
      </c>
      <c r="B20" t="s">
        <v>25</v>
      </c>
    </row>
    <row r="21" spans="1:2">
      <c r="A21" s="4" t="s">
        <v>26</v>
      </c>
      <c r="B21" t="s">
        <v>27</v>
      </c>
    </row>
    <row r="23" spans="1:2">
      <c r="A23" s="3" t="s">
        <v>28</v>
      </c>
    </row>
    <row r="24" spans="1:2">
      <c r="A24" s="4" t="s">
        <v>29</v>
      </c>
      <c r="B24" t="s">
        <v>30</v>
      </c>
    </row>
    <row r="25" spans="1:2">
      <c r="A25" s="4" t="s">
        <v>31</v>
      </c>
      <c r="B25" t="s">
        <v>32</v>
      </c>
    </row>
    <row r="26" spans="1:2">
      <c r="A26" s="4" t="s">
        <v>33</v>
      </c>
      <c r="B26" t="s">
        <v>34</v>
      </c>
    </row>
    <row r="28" spans="1:2">
      <c r="A28" s="3" t="s">
        <v>35</v>
      </c>
    </row>
    <row r="29" spans="1:2">
      <c r="A29" s="4" t="s">
        <v>36</v>
      </c>
      <c r="B29" t="s">
        <v>37</v>
      </c>
    </row>
    <row r="30" spans="1:2">
      <c r="A30" s="4" t="s">
        <v>38</v>
      </c>
      <c r="B30" t="s">
        <v>39</v>
      </c>
    </row>
    <row r="32" spans="1:2">
      <c r="A32" s="3" t="s">
        <v>40</v>
      </c>
    </row>
    <row r="33" spans="1:2">
      <c r="A33" s="4" t="s">
        <v>41</v>
      </c>
      <c r="B33" t="s">
        <v>42</v>
      </c>
    </row>
    <row r="34" spans="1:2">
      <c r="A34" s="4" t="s">
        <v>43</v>
      </c>
      <c r="B34" t="s">
        <v>44</v>
      </c>
    </row>
    <row r="35" spans="1:2">
      <c r="A35" s="4" t="s">
        <v>45</v>
      </c>
      <c r="B35" t="s">
        <v>46</v>
      </c>
    </row>
    <row r="37" spans="1:2">
      <c r="A37" s="3" t="s">
        <v>47</v>
      </c>
    </row>
    <row r="38" spans="1:2">
      <c r="A38" s="4" t="s">
        <v>48</v>
      </c>
      <c r="B38" t="s">
        <v>49</v>
      </c>
    </row>
    <row r="39" spans="1:2">
      <c r="A39" s="4" t="s">
        <v>50</v>
      </c>
      <c r="B39" t="s">
        <v>51</v>
      </c>
    </row>
    <row r="40" spans="1:2">
      <c r="A40" s="4" t="s">
        <v>52</v>
      </c>
      <c r="B40" t="s">
        <v>53</v>
      </c>
    </row>
  </sheetData>
  <hyperlinks>
    <hyperlink ref="A15" location="'Assumptions'!A1" display="Assumptions" xr:uid="{00000000-0004-0000-0000-000000000000}"/>
    <hyperlink ref="A18" location="'Drivers'!A1" display="Drivers" xr:uid="{00000000-0004-0000-0000-000001000000}"/>
    <hyperlink ref="A19" location="'Revenue'!A1" display="Revenue" xr:uid="{00000000-0004-0000-0000-000002000000}"/>
    <hyperlink ref="A20" location="'Costs'!A1" display="Costs" xr:uid="{00000000-0004-0000-0000-000003000000}"/>
    <hyperlink ref="A21" location="'WorkingCap'!A1" display="WorkingCap" xr:uid="{00000000-0004-0000-0000-000004000000}"/>
    <hyperlink ref="A24" location="'P&amp;L'!A1" display="P&amp;L" xr:uid="{00000000-0004-0000-0000-000005000000}"/>
    <hyperlink ref="A25" location="'CashFlow'!A1" display="CashFlow" xr:uid="{00000000-0004-0000-0000-000006000000}"/>
    <hyperlink ref="A26" location="'BalanceSheet'!A1" display="BalanceSheet" xr:uid="{00000000-0004-0000-0000-000007000000}"/>
    <hyperlink ref="A29" location="'Valuation'!A1" display="Valuation" xr:uid="{00000000-0004-0000-0000-000008000000}"/>
    <hyperlink ref="A30" location="'Funding'!A1" display="Funding" xr:uid="{00000000-0004-0000-0000-000009000000}"/>
    <hyperlink ref="A33" location="'HiringPlan'!A1" display="HiringPlan" xr:uid="{00000000-0004-0000-0000-00000A000000}"/>
    <hyperlink ref="A34" location="'CAC_CLV'!A1" display="CAC_CLV" xr:uid="{00000000-0004-0000-0000-00000B000000}"/>
    <hyperlink ref="A35" location="'KPIs'!A1" display="KPIs" xr:uid="{00000000-0004-0000-0000-00000C000000}"/>
    <hyperlink ref="A38" location="'Comparables'!A1" display="Comparables" xr:uid="{00000000-0004-0000-0000-00000D000000}"/>
    <hyperlink ref="A39" location="'MarketModel'!A1" display="MarketModel" xr:uid="{00000000-0004-0000-0000-00000E000000}"/>
    <hyperlink ref="A40" location="'Research'!A1" display="Research" xr:uid="{00000000-0004-0000-0000-00000F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14"/>
  <sheetViews>
    <sheetView workbookViewId="0">
      <pane xSplit="2" ySplit="2" topLeftCell="C3" activePane="bottomRight" state="frozen"/>
      <selection pane="bottomRight"/>
      <selection pane="bottomLeft"/>
      <selection pane="topRight"/>
    </sheetView>
  </sheetViews>
  <sheetFormatPr defaultRowHeight="14.45"/>
  <cols>
    <col min="1" max="1" width="44" customWidth="1"/>
    <col min="2" max="2" width="15" customWidth="1"/>
    <col min="3" max="12" width="13" customWidth="1"/>
  </cols>
  <sheetData>
    <row r="1" spans="1:14" ht="17.100000000000001">
      <c r="A1" s="1" t="s">
        <v>17</v>
      </c>
    </row>
    <row r="2" spans="1:14">
      <c r="A2" s="5" t="s">
        <v>54</v>
      </c>
      <c r="B2" s="5" t="s">
        <v>55</v>
      </c>
      <c r="C2" s="6" t="s">
        <v>56</v>
      </c>
      <c r="D2" s="6" t="s">
        <v>57</v>
      </c>
      <c r="E2" s="6" t="s">
        <v>58</v>
      </c>
      <c r="F2" s="6" t="s">
        <v>59</v>
      </c>
      <c r="G2" s="6" t="s">
        <v>60</v>
      </c>
      <c r="H2" s="6" t="s">
        <v>61</v>
      </c>
      <c r="I2" s="6" t="s">
        <v>62</v>
      </c>
      <c r="J2" s="6" t="s">
        <v>63</v>
      </c>
      <c r="K2" s="6" t="s">
        <v>64</v>
      </c>
      <c r="L2" s="6" t="s">
        <v>65</v>
      </c>
    </row>
    <row r="4" spans="1:14">
      <c r="A4" s="7" t="s">
        <v>66</v>
      </c>
      <c r="B4" s="8"/>
      <c r="C4" s="8"/>
      <c r="D4" s="8"/>
      <c r="E4" s="8"/>
      <c r="F4" s="8"/>
      <c r="G4" s="8"/>
      <c r="H4" s="8"/>
      <c r="I4" s="8"/>
      <c r="J4" s="8"/>
      <c r="K4" s="8"/>
      <c r="L4" s="8"/>
    </row>
    <row r="5" spans="1:14">
      <c r="A5" s="9" t="s">
        <v>67</v>
      </c>
      <c r="B5" s="10" t="s">
        <v>68</v>
      </c>
      <c r="C5" s="11">
        <v>250</v>
      </c>
      <c r="D5" s="11">
        <v>750</v>
      </c>
      <c r="E5" s="11">
        <v>1700</v>
      </c>
      <c r="F5" s="11">
        <v>2800</v>
      </c>
      <c r="G5" s="11">
        <v>4000</v>
      </c>
      <c r="H5" s="11">
        <v>5200</v>
      </c>
      <c r="I5" s="11">
        <v>6300</v>
      </c>
      <c r="J5" s="11">
        <v>7200</v>
      </c>
      <c r="K5" s="11">
        <v>7900</v>
      </c>
      <c r="L5" s="11">
        <v>8500</v>
      </c>
    </row>
    <row r="6" spans="1:14">
      <c r="A6" s="9" t="s">
        <v>69</v>
      </c>
      <c r="B6" s="10" t="s">
        <v>70</v>
      </c>
      <c r="C6" s="12">
        <v>0.95</v>
      </c>
      <c r="D6" s="12">
        <v>0.92</v>
      </c>
      <c r="E6" s="12">
        <v>0.8</v>
      </c>
      <c r="F6" s="12">
        <v>0.68</v>
      </c>
      <c r="G6" s="12">
        <v>0.57999999999999996</v>
      </c>
      <c r="H6" s="12">
        <v>0.5</v>
      </c>
      <c r="I6" s="12">
        <v>0.45</v>
      </c>
      <c r="J6" s="12">
        <v>0.43</v>
      </c>
      <c r="K6" s="12">
        <v>0.42</v>
      </c>
      <c r="L6" s="12">
        <v>0.41</v>
      </c>
    </row>
    <row r="7" spans="1:14">
      <c r="A7" s="9" t="s">
        <v>71</v>
      </c>
      <c r="B7" s="10" t="s">
        <v>68</v>
      </c>
      <c r="C7" s="11">
        <v>2000</v>
      </c>
      <c r="D7" s="13">
        <f>C7</f>
        <v>2000</v>
      </c>
      <c r="E7" s="13">
        <f>C7</f>
        <v>2000</v>
      </c>
      <c r="F7" s="13">
        <f>C7</f>
        <v>2000</v>
      </c>
      <c r="G7" s="13">
        <f>C7</f>
        <v>2000</v>
      </c>
      <c r="H7" s="13">
        <f>C7</f>
        <v>2000</v>
      </c>
      <c r="I7" s="13">
        <f>C7</f>
        <v>2000</v>
      </c>
      <c r="J7" s="13">
        <f>C7</f>
        <v>2000</v>
      </c>
      <c r="K7" s="13">
        <f>C7</f>
        <v>2000</v>
      </c>
      <c r="L7" s="13">
        <f>C7</f>
        <v>2000</v>
      </c>
      <c r="N7" s="14" t="s">
        <v>72</v>
      </c>
    </row>
    <row r="9" spans="1:14">
      <c r="A9" s="7" t="s">
        <v>73</v>
      </c>
      <c r="B9" s="8"/>
      <c r="C9" s="8"/>
      <c r="D9" s="8"/>
      <c r="E9" s="8"/>
      <c r="F9" s="8"/>
      <c r="G9" s="8"/>
      <c r="H9" s="8"/>
      <c r="I9" s="8"/>
      <c r="J9" s="8"/>
      <c r="K9" s="8"/>
      <c r="L9" s="8"/>
    </row>
    <row r="10" spans="1:14">
      <c r="A10" s="9" t="s">
        <v>74</v>
      </c>
      <c r="B10" s="10" t="s">
        <v>75</v>
      </c>
      <c r="C10" s="12">
        <v>0</v>
      </c>
      <c r="D10" s="12">
        <v>0.32</v>
      </c>
      <c r="E10" s="12">
        <v>0.37</v>
      </c>
      <c r="F10" s="12">
        <v>0.41</v>
      </c>
      <c r="G10" s="12">
        <v>0.44</v>
      </c>
      <c r="H10" s="12">
        <v>0.46</v>
      </c>
      <c r="I10" s="12">
        <v>0.48</v>
      </c>
      <c r="J10" s="12">
        <v>0.49</v>
      </c>
      <c r="K10" s="12">
        <v>0.5</v>
      </c>
      <c r="L10" s="12">
        <v>0.5</v>
      </c>
    </row>
    <row r="11" spans="1:14">
      <c r="A11" s="9" t="s">
        <v>76</v>
      </c>
      <c r="B11" s="10" t="s">
        <v>68</v>
      </c>
      <c r="C11" s="11">
        <v>20</v>
      </c>
      <c r="D11" s="11">
        <v>22</v>
      </c>
      <c r="E11" s="11">
        <v>25</v>
      </c>
      <c r="F11" s="11">
        <v>28</v>
      </c>
      <c r="G11" s="11">
        <v>30</v>
      </c>
      <c r="H11" s="11">
        <v>32</v>
      </c>
      <c r="I11" s="11">
        <v>34</v>
      </c>
      <c r="J11" s="11">
        <v>35</v>
      </c>
      <c r="K11" s="11">
        <v>36</v>
      </c>
      <c r="L11" s="11">
        <v>37</v>
      </c>
      <c r="N11" s="15" t="s">
        <v>77</v>
      </c>
    </row>
    <row r="12" spans="1:14">
      <c r="A12" s="9" t="s">
        <v>78</v>
      </c>
      <c r="B12" s="10" t="s">
        <v>79</v>
      </c>
      <c r="C12" s="16">
        <v>8</v>
      </c>
      <c r="D12" s="16">
        <v>8.3000000000000007</v>
      </c>
      <c r="E12" s="16">
        <v>8.6</v>
      </c>
      <c r="F12" s="16">
        <v>8.8000000000000007</v>
      </c>
      <c r="G12" s="16">
        <v>9</v>
      </c>
      <c r="H12" s="16">
        <v>9.1</v>
      </c>
      <c r="I12" s="16">
        <v>9.1999999999999993</v>
      </c>
      <c r="J12" s="16">
        <v>9.3000000000000007</v>
      </c>
      <c r="K12" s="16">
        <v>9.4</v>
      </c>
      <c r="L12" s="16">
        <v>9.5</v>
      </c>
      <c r="N12" s="15" t="s">
        <v>80</v>
      </c>
    </row>
    <row r="13" spans="1:14">
      <c r="A13" s="9" t="s">
        <v>81</v>
      </c>
      <c r="B13" s="10" t="s">
        <v>70</v>
      </c>
      <c r="C13" s="12">
        <v>0.09</v>
      </c>
      <c r="D13" s="12">
        <v>8.5000000000000006E-2</v>
      </c>
      <c r="E13" s="12">
        <v>0.08</v>
      </c>
      <c r="F13" s="12">
        <v>7.4999999999999997E-2</v>
      </c>
      <c r="G13" s="12">
        <v>7.0000000000000007E-2</v>
      </c>
      <c r="H13" s="12">
        <v>6.5000000000000002E-2</v>
      </c>
      <c r="I13" s="12">
        <v>0.06</v>
      </c>
      <c r="J13" s="12">
        <v>5.8000000000000003E-2</v>
      </c>
      <c r="K13" s="12">
        <v>5.6000000000000001E-2</v>
      </c>
      <c r="L13" s="12">
        <v>5.5E-2</v>
      </c>
      <c r="N13" s="15" t="s">
        <v>82</v>
      </c>
    </row>
    <row r="14" spans="1:14">
      <c r="A14" s="9" t="s">
        <v>83</v>
      </c>
      <c r="B14" s="10" t="s">
        <v>70</v>
      </c>
      <c r="C14" s="12">
        <v>0.3</v>
      </c>
      <c r="D14" s="12">
        <v>0.27</v>
      </c>
      <c r="E14" s="12">
        <v>0.24</v>
      </c>
      <c r="F14" s="12">
        <v>0.22</v>
      </c>
      <c r="G14" s="12">
        <v>0.2</v>
      </c>
      <c r="H14" s="12">
        <v>0.19</v>
      </c>
      <c r="I14" s="12">
        <v>0.18</v>
      </c>
      <c r="J14" s="12">
        <v>0.17</v>
      </c>
      <c r="K14" s="12">
        <v>0.16</v>
      </c>
      <c r="L14" s="12">
        <v>0.16</v>
      </c>
    </row>
    <row r="15" spans="1:14">
      <c r="A15" s="9" t="s">
        <v>84</v>
      </c>
      <c r="B15" s="10" t="s">
        <v>85</v>
      </c>
      <c r="C15" s="11">
        <v>30</v>
      </c>
      <c r="D15" s="11">
        <v>33</v>
      </c>
      <c r="E15" s="11">
        <v>36</v>
      </c>
      <c r="F15" s="11">
        <v>40</v>
      </c>
      <c r="G15" s="11">
        <v>43</v>
      </c>
      <c r="H15" s="11">
        <v>45</v>
      </c>
      <c r="I15" s="11">
        <v>47</v>
      </c>
      <c r="J15" s="11">
        <v>49</v>
      </c>
      <c r="K15" s="11">
        <v>50</v>
      </c>
      <c r="L15" s="11">
        <v>52</v>
      </c>
      <c r="N15" s="14" t="s">
        <v>86</v>
      </c>
    </row>
    <row r="16" spans="1:14">
      <c r="A16" s="9" t="s">
        <v>87</v>
      </c>
      <c r="B16" s="10" t="s">
        <v>75</v>
      </c>
      <c r="C16" s="12">
        <v>0.05</v>
      </c>
      <c r="D16" s="12">
        <v>7.0000000000000007E-2</v>
      </c>
      <c r="E16" s="12">
        <v>0.09</v>
      </c>
      <c r="F16" s="12">
        <v>0.11</v>
      </c>
      <c r="G16" s="12">
        <v>0.13</v>
      </c>
      <c r="H16" s="12">
        <v>0.15</v>
      </c>
      <c r="I16" s="12">
        <v>0.16</v>
      </c>
      <c r="J16" s="12">
        <v>0.17</v>
      </c>
      <c r="K16" s="12">
        <v>0.17</v>
      </c>
      <c r="L16" s="12">
        <v>0.18</v>
      </c>
    </row>
    <row r="17" spans="1:14">
      <c r="A17" s="9" t="s">
        <v>88</v>
      </c>
      <c r="B17" s="10" t="s">
        <v>68</v>
      </c>
      <c r="C17" s="17">
        <v>1.1000000000000001</v>
      </c>
      <c r="D17" s="17">
        <v>1.2</v>
      </c>
      <c r="E17" s="17">
        <v>1.3</v>
      </c>
      <c r="F17" s="17">
        <v>1.5</v>
      </c>
      <c r="G17" s="17">
        <v>1.6</v>
      </c>
      <c r="H17" s="17">
        <v>1.7</v>
      </c>
      <c r="I17" s="17">
        <v>1.8</v>
      </c>
      <c r="J17" s="17">
        <v>1.9</v>
      </c>
      <c r="K17" s="17">
        <v>1.9</v>
      </c>
      <c r="L17" s="17">
        <v>2</v>
      </c>
    </row>
    <row r="18" spans="1:14">
      <c r="A18" s="9" t="s">
        <v>89</v>
      </c>
      <c r="B18" s="10" t="s">
        <v>79</v>
      </c>
      <c r="C18" s="18">
        <v>900</v>
      </c>
      <c r="D18" s="18">
        <v>1050</v>
      </c>
      <c r="E18" s="18">
        <v>1200</v>
      </c>
      <c r="F18" s="18">
        <v>1350</v>
      </c>
      <c r="G18" s="18">
        <v>1500</v>
      </c>
      <c r="H18" s="18">
        <v>1600</v>
      </c>
      <c r="I18" s="18">
        <v>1700</v>
      </c>
      <c r="J18" s="18">
        <v>1800</v>
      </c>
      <c r="K18" s="18">
        <v>1900</v>
      </c>
      <c r="L18" s="18">
        <v>2000</v>
      </c>
    </row>
    <row r="19" spans="1:14">
      <c r="A19" s="9" t="s">
        <v>90</v>
      </c>
      <c r="B19" s="10" t="s">
        <v>79</v>
      </c>
      <c r="C19" s="18">
        <v>16</v>
      </c>
      <c r="D19" s="18">
        <v>18</v>
      </c>
      <c r="E19" s="18">
        <v>21</v>
      </c>
      <c r="F19" s="18">
        <v>24</v>
      </c>
      <c r="G19" s="18">
        <v>27</v>
      </c>
      <c r="H19" s="18">
        <v>30</v>
      </c>
      <c r="I19" s="18">
        <v>32</v>
      </c>
      <c r="J19" s="18">
        <v>34</v>
      </c>
      <c r="K19" s="18">
        <v>35</v>
      </c>
      <c r="L19" s="18">
        <v>36</v>
      </c>
    </row>
    <row r="21" spans="1:14">
      <c r="A21" s="7" t="s">
        <v>91</v>
      </c>
      <c r="B21" s="8"/>
      <c r="C21" s="8"/>
      <c r="D21" s="8"/>
      <c r="E21" s="8"/>
      <c r="F21" s="8"/>
      <c r="G21" s="8"/>
      <c r="H21" s="8"/>
      <c r="I21" s="8"/>
      <c r="J21" s="8"/>
      <c r="K21" s="8"/>
      <c r="L21" s="8"/>
    </row>
    <row r="22" spans="1:14">
      <c r="A22" s="9" t="s">
        <v>92</v>
      </c>
      <c r="B22" s="10" t="s">
        <v>75</v>
      </c>
      <c r="C22" s="12">
        <v>0</v>
      </c>
      <c r="D22" s="12">
        <v>0.17</v>
      </c>
      <c r="E22" s="12">
        <v>0.2</v>
      </c>
      <c r="F22" s="12">
        <v>0.23</v>
      </c>
      <c r="G22" s="12">
        <v>0.26</v>
      </c>
      <c r="H22" s="12">
        <v>0.28000000000000003</v>
      </c>
      <c r="I22" s="12">
        <v>0.3</v>
      </c>
      <c r="J22" s="12">
        <v>0.31</v>
      </c>
      <c r="K22" s="12">
        <v>0.32</v>
      </c>
      <c r="L22" s="12">
        <v>0.32</v>
      </c>
    </row>
    <row r="23" spans="1:14">
      <c r="A23" s="9" t="s">
        <v>93</v>
      </c>
      <c r="B23" s="10" t="s">
        <v>68</v>
      </c>
      <c r="C23" s="11">
        <v>26</v>
      </c>
      <c r="D23" s="11">
        <v>29</v>
      </c>
      <c r="E23" s="11">
        <v>32</v>
      </c>
      <c r="F23" s="11">
        <v>35</v>
      </c>
      <c r="G23" s="11">
        <v>38</v>
      </c>
      <c r="H23" s="11">
        <v>41</v>
      </c>
      <c r="I23" s="11">
        <v>44</v>
      </c>
      <c r="J23" s="11">
        <v>46</v>
      </c>
      <c r="K23" s="11">
        <v>47</v>
      </c>
      <c r="L23" s="11">
        <v>48</v>
      </c>
      <c r="N23" s="15" t="s">
        <v>77</v>
      </c>
    </row>
    <row r="24" spans="1:14">
      <c r="A24" s="9" t="s">
        <v>94</v>
      </c>
      <c r="B24" s="10" t="s">
        <v>79</v>
      </c>
      <c r="C24" s="16">
        <v>7</v>
      </c>
      <c r="D24" s="16">
        <v>7.2</v>
      </c>
      <c r="E24" s="16">
        <v>7.4</v>
      </c>
      <c r="F24" s="16">
        <v>7.6</v>
      </c>
      <c r="G24" s="16">
        <v>7.8</v>
      </c>
      <c r="H24" s="16">
        <v>7.9</v>
      </c>
      <c r="I24" s="16">
        <v>8</v>
      </c>
      <c r="J24" s="16">
        <v>8.1</v>
      </c>
      <c r="K24" s="16">
        <v>8.1999999999999993</v>
      </c>
      <c r="L24" s="16">
        <v>8.3000000000000007</v>
      </c>
      <c r="N24" s="15" t="s">
        <v>80</v>
      </c>
    </row>
    <row r="25" spans="1:14">
      <c r="A25" s="9" t="s">
        <v>95</v>
      </c>
      <c r="B25" s="10" t="s">
        <v>70</v>
      </c>
      <c r="C25" s="12">
        <v>0.13</v>
      </c>
      <c r="D25" s="12">
        <v>0.125</v>
      </c>
      <c r="E25" s="12">
        <v>0.12</v>
      </c>
      <c r="F25" s="12">
        <v>0.11</v>
      </c>
      <c r="G25" s="12">
        <v>0.105</v>
      </c>
      <c r="H25" s="12">
        <v>0.1</v>
      </c>
      <c r="I25" s="12">
        <v>0.09</v>
      </c>
      <c r="J25" s="12">
        <v>8.7999999999999995E-2</v>
      </c>
      <c r="K25" s="12">
        <v>8.5999999999999993E-2</v>
      </c>
      <c r="L25" s="12">
        <v>8.5000000000000006E-2</v>
      </c>
      <c r="N25" s="15" t="s">
        <v>82</v>
      </c>
    </row>
    <row r="26" spans="1:14">
      <c r="A26" s="9" t="s">
        <v>96</v>
      </c>
      <c r="B26" s="10" t="s">
        <v>70</v>
      </c>
      <c r="C26" s="12">
        <v>0.35</v>
      </c>
      <c r="D26" s="12">
        <v>0.32</v>
      </c>
      <c r="E26" s="12">
        <v>0.3</v>
      </c>
      <c r="F26" s="12">
        <v>0.27</v>
      </c>
      <c r="G26" s="12">
        <v>0.25</v>
      </c>
      <c r="H26" s="12">
        <v>0.23</v>
      </c>
      <c r="I26" s="12">
        <v>0.22</v>
      </c>
      <c r="J26" s="12">
        <v>0.21</v>
      </c>
      <c r="K26" s="12">
        <v>0.21</v>
      </c>
      <c r="L26" s="12">
        <v>0.2</v>
      </c>
    </row>
    <row r="27" spans="1:14">
      <c r="A27" s="9" t="s">
        <v>97</v>
      </c>
      <c r="B27" s="10" t="s">
        <v>85</v>
      </c>
      <c r="C27" s="11">
        <v>38</v>
      </c>
      <c r="D27" s="11">
        <v>42</v>
      </c>
      <c r="E27" s="11">
        <v>46</v>
      </c>
      <c r="F27" s="11">
        <v>50</v>
      </c>
      <c r="G27" s="11">
        <v>54</v>
      </c>
      <c r="H27" s="11">
        <v>58</v>
      </c>
      <c r="I27" s="11">
        <v>62</v>
      </c>
      <c r="J27" s="11">
        <v>65</v>
      </c>
      <c r="K27" s="11">
        <v>67</v>
      </c>
      <c r="L27" s="11">
        <v>69</v>
      </c>
      <c r="N27" s="14" t="s">
        <v>86</v>
      </c>
    </row>
    <row r="28" spans="1:14">
      <c r="A28" s="9" t="s">
        <v>98</v>
      </c>
      <c r="B28" s="10" t="s">
        <v>75</v>
      </c>
      <c r="C28" s="12">
        <v>0.14000000000000001</v>
      </c>
      <c r="D28" s="12">
        <v>0.17</v>
      </c>
      <c r="E28" s="12">
        <v>0.2</v>
      </c>
      <c r="F28" s="12">
        <v>0.24</v>
      </c>
      <c r="G28" s="12">
        <v>0.27</v>
      </c>
      <c r="H28" s="12">
        <v>0.28999999999999998</v>
      </c>
      <c r="I28" s="12">
        <v>0.3</v>
      </c>
      <c r="J28" s="12">
        <v>0.31</v>
      </c>
      <c r="K28" s="12">
        <v>0.31</v>
      </c>
      <c r="L28" s="12">
        <v>0.32</v>
      </c>
    </row>
    <row r="29" spans="1:14">
      <c r="A29" s="9" t="s">
        <v>99</v>
      </c>
      <c r="B29" s="10" t="s">
        <v>68</v>
      </c>
      <c r="C29" s="17">
        <v>1.3</v>
      </c>
      <c r="D29" s="17">
        <v>1.5</v>
      </c>
      <c r="E29" s="17">
        <v>1.7</v>
      </c>
      <c r="F29" s="17">
        <v>1.9</v>
      </c>
      <c r="G29" s="17">
        <v>2.1</v>
      </c>
      <c r="H29" s="17">
        <v>2.2999999999999998</v>
      </c>
      <c r="I29" s="17">
        <v>2.4</v>
      </c>
      <c r="J29" s="17">
        <v>2.5</v>
      </c>
      <c r="K29" s="17">
        <v>2.5</v>
      </c>
      <c r="L29" s="17">
        <v>2.6</v>
      </c>
    </row>
    <row r="30" spans="1:14">
      <c r="A30" s="9" t="s">
        <v>100</v>
      </c>
      <c r="B30" s="10" t="s">
        <v>79</v>
      </c>
      <c r="C30" s="18">
        <v>2200</v>
      </c>
      <c r="D30" s="18">
        <v>2500</v>
      </c>
      <c r="E30" s="18">
        <v>2800</v>
      </c>
      <c r="F30" s="18">
        <v>3100</v>
      </c>
      <c r="G30" s="18">
        <v>3400</v>
      </c>
      <c r="H30" s="18">
        <v>3700</v>
      </c>
      <c r="I30" s="18">
        <v>4000</v>
      </c>
      <c r="J30" s="18">
        <v>4200</v>
      </c>
      <c r="K30" s="18">
        <v>4400</v>
      </c>
      <c r="L30" s="18">
        <v>4600</v>
      </c>
    </row>
    <row r="31" spans="1:14">
      <c r="A31" s="9" t="s">
        <v>101</v>
      </c>
      <c r="B31" s="10" t="s">
        <v>79</v>
      </c>
      <c r="C31" s="18">
        <v>40</v>
      </c>
      <c r="D31" s="18">
        <v>46</v>
      </c>
      <c r="E31" s="18">
        <v>53</v>
      </c>
      <c r="F31" s="18">
        <v>60</v>
      </c>
      <c r="G31" s="18">
        <v>67</v>
      </c>
      <c r="H31" s="18">
        <v>73</v>
      </c>
      <c r="I31" s="18">
        <v>78</v>
      </c>
      <c r="J31" s="18">
        <v>82</v>
      </c>
      <c r="K31" s="18">
        <v>85</v>
      </c>
      <c r="L31" s="18">
        <v>88</v>
      </c>
    </row>
    <row r="33" spans="1:14">
      <c r="A33" s="7" t="s">
        <v>102</v>
      </c>
      <c r="B33" s="8"/>
      <c r="C33" s="8"/>
      <c r="D33" s="8"/>
      <c r="E33" s="8"/>
      <c r="F33" s="8"/>
      <c r="G33" s="8"/>
      <c r="H33" s="8"/>
      <c r="I33" s="8"/>
      <c r="J33" s="8"/>
      <c r="K33" s="8"/>
      <c r="L33" s="8"/>
    </row>
    <row r="34" spans="1:14">
      <c r="A34" s="9" t="s">
        <v>103</v>
      </c>
      <c r="B34" s="10" t="s">
        <v>68</v>
      </c>
      <c r="C34" s="11">
        <v>18</v>
      </c>
      <c r="D34" s="11">
        <v>55</v>
      </c>
      <c r="E34" s="11">
        <v>125</v>
      </c>
      <c r="F34" s="11">
        <v>240</v>
      </c>
      <c r="G34" s="11">
        <v>380</v>
      </c>
      <c r="H34" s="11">
        <v>510</v>
      </c>
      <c r="I34" s="11">
        <v>620</v>
      </c>
      <c r="J34" s="11">
        <v>710</v>
      </c>
      <c r="K34" s="11">
        <v>790</v>
      </c>
      <c r="L34" s="11">
        <v>850</v>
      </c>
    </row>
    <row r="35" spans="1:14">
      <c r="A35" s="9" t="s">
        <v>104</v>
      </c>
      <c r="B35" s="10" t="s">
        <v>70</v>
      </c>
      <c r="C35" s="12">
        <v>0.1</v>
      </c>
      <c r="D35" s="12">
        <v>0.14000000000000001</v>
      </c>
      <c r="E35" s="12">
        <v>0.17</v>
      </c>
      <c r="F35" s="12">
        <v>0.19</v>
      </c>
      <c r="G35" s="12">
        <v>0.2</v>
      </c>
      <c r="H35" s="12">
        <v>0.2</v>
      </c>
      <c r="I35" s="12">
        <v>0.2</v>
      </c>
      <c r="J35" s="12">
        <v>0.2</v>
      </c>
      <c r="K35" s="12">
        <v>0.2</v>
      </c>
      <c r="L35" s="12">
        <v>0.2</v>
      </c>
    </row>
    <row r="36" spans="1:14">
      <c r="A36" s="9" t="s">
        <v>105</v>
      </c>
      <c r="B36" s="10" t="s">
        <v>79</v>
      </c>
      <c r="C36" s="18">
        <v>199</v>
      </c>
      <c r="D36" s="18">
        <v>229</v>
      </c>
      <c r="E36" s="18">
        <v>260</v>
      </c>
      <c r="F36" s="18">
        <v>290</v>
      </c>
      <c r="G36" s="18">
        <v>320</v>
      </c>
      <c r="H36" s="18">
        <v>360</v>
      </c>
      <c r="I36" s="18">
        <v>400</v>
      </c>
      <c r="J36" s="18">
        <v>430</v>
      </c>
      <c r="K36" s="18">
        <v>455</v>
      </c>
      <c r="L36" s="18">
        <v>475</v>
      </c>
    </row>
    <row r="37" spans="1:14">
      <c r="A37" s="9" t="s">
        <v>106</v>
      </c>
      <c r="B37" s="10" t="s">
        <v>79</v>
      </c>
      <c r="C37" s="18">
        <v>900</v>
      </c>
      <c r="D37" s="18">
        <v>1050</v>
      </c>
      <c r="E37" s="18">
        <v>1200</v>
      </c>
      <c r="F37" s="18">
        <v>1400</v>
      </c>
      <c r="G37" s="18">
        <v>1600</v>
      </c>
      <c r="H37" s="18">
        <v>1750</v>
      </c>
      <c r="I37" s="18">
        <v>1900</v>
      </c>
      <c r="J37" s="18">
        <v>2000</v>
      </c>
      <c r="K37" s="18">
        <v>2100</v>
      </c>
      <c r="L37" s="18">
        <v>2200</v>
      </c>
    </row>
    <row r="39" spans="1:14">
      <c r="A39" s="7" t="s">
        <v>107</v>
      </c>
      <c r="B39" s="8"/>
      <c r="C39" s="8"/>
      <c r="D39" s="8"/>
      <c r="E39" s="8"/>
      <c r="F39" s="8"/>
      <c r="G39" s="8"/>
      <c r="H39" s="8"/>
      <c r="I39" s="8"/>
      <c r="J39" s="8"/>
      <c r="K39" s="8"/>
      <c r="L39" s="8"/>
    </row>
    <row r="40" spans="1:14">
      <c r="A40" s="9" t="s">
        <v>108</v>
      </c>
      <c r="B40" s="10" t="s">
        <v>70</v>
      </c>
      <c r="C40" s="12">
        <v>0.15</v>
      </c>
      <c r="D40" s="19">
        <f t="shared" ref="D40:D55" si="0">C40</f>
        <v>0.15</v>
      </c>
      <c r="E40" s="19">
        <f t="shared" ref="E40:E55" si="1">C40</f>
        <v>0.15</v>
      </c>
      <c r="F40" s="19">
        <f t="shared" ref="F40:F55" si="2">C40</f>
        <v>0.15</v>
      </c>
      <c r="G40" s="19">
        <f t="shared" ref="G40:G55" si="3">C40</f>
        <v>0.15</v>
      </c>
      <c r="H40" s="19">
        <f t="shared" ref="H40:H55" si="4">C40</f>
        <v>0.15</v>
      </c>
      <c r="I40" s="19">
        <f t="shared" ref="I40:I55" si="5">C40</f>
        <v>0.15</v>
      </c>
      <c r="J40" s="19">
        <f t="shared" ref="J40:J55" si="6">C40</f>
        <v>0.15</v>
      </c>
      <c r="K40" s="19">
        <f t="shared" ref="K40:K55" si="7">C40</f>
        <v>0.15</v>
      </c>
      <c r="L40" s="19">
        <f t="shared" ref="L40:L55" si="8">C40</f>
        <v>0.15</v>
      </c>
      <c r="N40" s="14" t="s">
        <v>109</v>
      </c>
    </row>
    <row r="41" spans="1:14">
      <c r="A41" s="9" t="s">
        <v>110</v>
      </c>
      <c r="B41" s="10" t="s">
        <v>70</v>
      </c>
      <c r="C41" s="12">
        <v>0.1</v>
      </c>
      <c r="D41" s="19">
        <f t="shared" si="0"/>
        <v>0.1</v>
      </c>
      <c r="E41" s="19">
        <f t="shared" si="1"/>
        <v>0.1</v>
      </c>
      <c r="F41" s="19">
        <f t="shared" si="2"/>
        <v>0.1</v>
      </c>
      <c r="G41" s="19">
        <f t="shared" si="3"/>
        <v>0.1</v>
      </c>
      <c r="H41" s="19">
        <f t="shared" si="4"/>
        <v>0.1</v>
      </c>
      <c r="I41" s="19">
        <f t="shared" si="5"/>
        <v>0.1</v>
      </c>
      <c r="J41" s="19">
        <f t="shared" si="6"/>
        <v>0.1</v>
      </c>
      <c r="K41" s="19">
        <f t="shared" si="7"/>
        <v>0.1</v>
      </c>
      <c r="L41" s="19">
        <f t="shared" si="8"/>
        <v>0.1</v>
      </c>
      <c r="N41" s="14" t="s">
        <v>111</v>
      </c>
    </row>
    <row r="42" spans="1:14">
      <c r="A42" s="9" t="s">
        <v>112</v>
      </c>
      <c r="B42" s="10" t="s">
        <v>70</v>
      </c>
      <c r="C42" s="12">
        <v>7.0000000000000007E-2</v>
      </c>
      <c r="D42" s="19">
        <f t="shared" si="0"/>
        <v>7.0000000000000007E-2</v>
      </c>
      <c r="E42" s="19">
        <f t="shared" si="1"/>
        <v>7.0000000000000007E-2</v>
      </c>
      <c r="F42" s="19">
        <f t="shared" si="2"/>
        <v>7.0000000000000007E-2</v>
      </c>
      <c r="G42" s="19">
        <f t="shared" si="3"/>
        <v>7.0000000000000007E-2</v>
      </c>
      <c r="H42" s="19">
        <f t="shared" si="4"/>
        <v>7.0000000000000007E-2</v>
      </c>
      <c r="I42" s="19">
        <f t="shared" si="5"/>
        <v>7.0000000000000007E-2</v>
      </c>
      <c r="J42" s="19">
        <f t="shared" si="6"/>
        <v>7.0000000000000007E-2</v>
      </c>
      <c r="K42" s="19">
        <f t="shared" si="7"/>
        <v>7.0000000000000007E-2</v>
      </c>
      <c r="L42" s="19">
        <f t="shared" si="8"/>
        <v>7.0000000000000007E-2</v>
      </c>
      <c r="N42" s="14" t="s">
        <v>113</v>
      </c>
    </row>
    <row r="43" spans="1:14">
      <c r="A43" s="9" t="s">
        <v>114</v>
      </c>
      <c r="B43" s="10" t="s">
        <v>70</v>
      </c>
      <c r="C43" s="12">
        <v>0.05</v>
      </c>
      <c r="D43" s="19">
        <f t="shared" si="0"/>
        <v>0.05</v>
      </c>
      <c r="E43" s="19">
        <f t="shared" si="1"/>
        <v>0.05</v>
      </c>
      <c r="F43" s="19">
        <f t="shared" si="2"/>
        <v>0.05</v>
      </c>
      <c r="G43" s="19">
        <f t="shared" si="3"/>
        <v>0.05</v>
      </c>
      <c r="H43" s="19">
        <f t="shared" si="4"/>
        <v>0.05</v>
      </c>
      <c r="I43" s="19">
        <f t="shared" si="5"/>
        <v>0.05</v>
      </c>
      <c r="J43" s="19">
        <f t="shared" si="6"/>
        <v>0.05</v>
      </c>
      <c r="K43" s="19">
        <f t="shared" si="7"/>
        <v>0.05</v>
      </c>
      <c r="L43" s="19">
        <f t="shared" si="8"/>
        <v>0.05</v>
      </c>
      <c r="N43" s="14" t="s">
        <v>115</v>
      </c>
    </row>
    <row r="44" spans="1:14">
      <c r="A44" s="9" t="s">
        <v>116</v>
      </c>
      <c r="B44" s="10" t="s">
        <v>117</v>
      </c>
      <c r="C44" s="20">
        <v>2</v>
      </c>
      <c r="D44" s="21">
        <f t="shared" si="0"/>
        <v>2</v>
      </c>
      <c r="E44" s="21">
        <f t="shared" si="1"/>
        <v>2</v>
      </c>
      <c r="F44" s="21">
        <f t="shared" si="2"/>
        <v>2</v>
      </c>
      <c r="G44" s="21">
        <f t="shared" si="3"/>
        <v>2</v>
      </c>
      <c r="H44" s="21">
        <f t="shared" si="4"/>
        <v>2</v>
      </c>
      <c r="I44" s="21">
        <f t="shared" si="5"/>
        <v>2</v>
      </c>
      <c r="J44" s="21">
        <f t="shared" si="6"/>
        <v>2</v>
      </c>
      <c r="K44" s="21">
        <f t="shared" si="7"/>
        <v>2</v>
      </c>
      <c r="L44" s="21">
        <f t="shared" si="8"/>
        <v>2</v>
      </c>
      <c r="N44" s="14" t="s">
        <v>118</v>
      </c>
    </row>
    <row r="45" spans="1:14">
      <c r="A45" s="9" t="s">
        <v>119</v>
      </c>
      <c r="B45" s="10" t="s">
        <v>120</v>
      </c>
      <c r="C45" s="18">
        <v>99</v>
      </c>
      <c r="D45" s="22">
        <f t="shared" si="0"/>
        <v>99</v>
      </c>
      <c r="E45" s="22">
        <f t="shared" si="1"/>
        <v>99</v>
      </c>
      <c r="F45" s="22">
        <f t="shared" si="2"/>
        <v>99</v>
      </c>
      <c r="G45" s="22">
        <f t="shared" si="3"/>
        <v>99</v>
      </c>
      <c r="H45" s="22">
        <f t="shared" si="4"/>
        <v>99</v>
      </c>
      <c r="I45" s="22">
        <f t="shared" si="5"/>
        <v>99</v>
      </c>
      <c r="J45" s="22">
        <f t="shared" si="6"/>
        <v>99</v>
      </c>
      <c r="K45" s="22">
        <f t="shared" si="7"/>
        <v>99</v>
      </c>
      <c r="L45" s="22">
        <f t="shared" si="8"/>
        <v>99</v>
      </c>
    </row>
    <row r="46" spans="1:14">
      <c r="A46" s="9" t="s">
        <v>121</v>
      </c>
      <c r="B46" s="10" t="s">
        <v>120</v>
      </c>
      <c r="C46" s="18">
        <v>249</v>
      </c>
      <c r="D46" s="22">
        <f t="shared" si="0"/>
        <v>249</v>
      </c>
      <c r="E46" s="22">
        <f t="shared" si="1"/>
        <v>249</v>
      </c>
      <c r="F46" s="22">
        <f t="shared" si="2"/>
        <v>249</v>
      </c>
      <c r="G46" s="22">
        <f t="shared" si="3"/>
        <v>249</v>
      </c>
      <c r="H46" s="22">
        <f t="shared" si="4"/>
        <v>249</v>
      </c>
      <c r="I46" s="22">
        <f t="shared" si="5"/>
        <v>249</v>
      </c>
      <c r="J46" s="22">
        <f t="shared" si="6"/>
        <v>249</v>
      </c>
      <c r="K46" s="22">
        <f t="shared" si="7"/>
        <v>249</v>
      </c>
      <c r="L46" s="22">
        <f t="shared" si="8"/>
        <v>249</v>
      </c>
    </row>
    <row r="47" spans="1:14">
      <c r="A47" s="9" t="s">
        <v>122</v>
      </c>
      <c r="B47" s="10" t="s">
        <v>120</v>
      </c>
      <c r="C47" s="18">
        <v>999</v>
      </c>
      <c r="D47" s="22">
        <f t="shared" si="0"/>
        <v>999</v>
      </c>
      <c r="E47" s="22">
        <f t="shared" si="1"/>
        <v>999</v>
      </c>
      <c r="F47" s="22">
        <f t="shared" si="2"/>
        <v>999</v>
      </c>
      <c r="G47" s="22">
        <f t="shared" si="3"/>
        <v>999</v>
      </c>
      <c r="H47" s="22">
        <f t="shared" si="4"/>
        <v>999</v>
      </c>
      <c r="I47" s="22">
        <f t="shared" si="5"/>
        <v>999</v>
      </c>
      <c r="J47" s="22">
        <f t="shared" si="6"/>
        <v>999</v>
      </c>
      <c r="K47" s="22">
        <f t="shared" si="7"/>
        <v>999</v>
      </c>
      <c r="L47" s="22">
        <f t="shared" si="8"/>
        <v>999</v>
      </c>
    </row>
    <row r="48" spans="1:14">
      <c r="A48" s="9" t="s">
        <v>123</v>
      </c>
      <c r="B48" s="10" t="s">
        <v>70</v>
      </c>
      <c r="C48" s="12">
        <v>0.21</v>
      </c>
      <c r="D48" s="19">
        <f t="shared" si="0"/>
        <v>0.21</v>
      </c>
      <c r="E48" s="19">
        <f t="shared" si="1"/>
        <v>0.21</v>
      </c>
      <c r="F48" s="19">
        <f t="shared" si="2"/>
        <v>0.21</v>
      </c>
      <c r="G48" s="19">
        <f t="shared" si="3"/>
        <v>0.21</v>
      </c>
      <c r="H48" s="19">
        <f t="shared" si="4"/>
        <v>0.21</v>
      </c>
      <c r="I48" s="19">
        <f t="shared" si="5"/>
        <v>0.21</v>
      </c>
      <c r="J48" s="19">
        <f t="shared" si="6"/>
        <v>0.21</v>
      </c>
      <c r="K48" s="19">
        <f t="shared" si="7"/>
        <v>0.21</v>
      </c>
      <c r="L48" s="19">
        <f t="shared" si="8"/>
        <v>0.21</v>
      </c>
      <c r="N48" s="14" t="s">
        <v>124</v>
      </c>
    </row>
    <row r="49" spans="1:14">
      <c r="A49" s="9" t="s">
        <v>125</v>
      </c>
      <c r="B49" s="10" t="s">
        <v>117</v>
      </c>
      <c r="C49" s="20">
        <v>0.35</v>
      </c>
      <c r="D49" s="21">
        <f t="shared" si="0"/>
        <v>0.35</v>
      </c>
      <c r="E49" s="21">
        <f t="shared" si="1"/>
        <v>0.35</v>
      </c>
      <c r="F49" s="21">
        <f t="shared" si="2"/>
        <v>0.35</v>
      </c>
      <c r="G49" s="21">
        <f t="shared" si="3"/>
        <v>0.35</v>
      </c>
      <c r="H49" s="21">
        <f t="shared" si="4"/>
        <v>0.35</v>
      </c>
      <c r="I49" s="21">
        <f t="shared" si="5"/>
        <v>0.35</v>
      </c>
      <c r="J49" s="21">
        <f t="shared" si="6"/>
        <v>0.35</v>
      </c>
      <c r="K49" s="21">
        <f t="shared" si="7"/>
        <v>0.35</v>
      </c>
      <c r="L49" s="21">
        <f t="shared" si="8"/>
        <v>0.35</v>
      </c>
    </row>
    <row r="50" spans="1:14">
      <c r="A50" s="9" t="s">
        <v>126</v>
      </c>
      <c r="B50" s="10" t="s">
        <v>70</v>
      </c>
      <c r="C50" s="23">
        <v>1.9E-2</v>
      </c>
      <c r="D50" s="24">
        <f t="shared" si="0"/>
        <v>1.9E-2</v>
      </c>
      <c r="E50" s="24">
        <f t="shared" si="1"/>
        <v>1.9E-2</v>
      </c>
      <c r="F50" s="24">
        <f t="shared" si="2"/>
        <v>1.9E-2</v>
      </c>
      <c r="G50" s="24">
        <f t="shared" si="3"/>
        <v>1.9E-2</v>
      </c>
      <c r="H50" s="24">
        <f t="shared" si="4"/>
        <v>1.9E-2</v>
      </c>
      <c r="I50" s="24">
        <f t="shared" si="5"/>
        <v>1.9E-2</v>
      </c>
      <c r="J50" s="24">
        <f t="shared" si="6"/>
        <v>1.9E-2</v>
      </c>
      <c r="K50" s="24">
        <f t="shared" si="7"/>
        <v>1.9E-2</v>
      </c>
      <c r="L50" s="24">
        <f t="shared" si="8"/>
        <v>1.9E-2</v>
      </c>
      <c r="N50" s="14" t="s">
        <v>127</v>
      </c>
    </row>
    <row r="51" spans="1:14">
      <c r="A51" s="9" t="s">
        <v>128</v>
      </c>
      <c r="B51" s="10" t="s">
        <v>79</v>
      </c>
      <c r="C51" s="25">
        <v>0.25</v>
      </c>
      <c r="D51" s="26">
        <f t="shared" si="0"/>
        <v>0.25</v>
      </c>
      <c r="E51" s="26">
        <f t="shared" si="1"/>
        <v>0.25</v>
      </c>
      <c r="F51" s="26">
        <f t="shared" si="2"/>
        <v>0.25</v>
      </c>
      <c r="G51" s="26">
        <f t="shared" si="3"/>
        <v>0.25</v>
      </c>
      <c r="H51" s="26">
        <f t="shared" si="4"/>
        <v>0.25</v>
      </c>
      <c r="I51" s="26">
        <f t="shared" si="5"/>
        <v>0.25</v>
      </c>
      <c r="J51" s="26">
        <f t="shared" si="6"/>
        <v>0.25</v>
      </c>
      <c r="K51" s="26">
        <f t="shared" si="7"/>
        <v>0.25</v>
      </c>
      <c r="L51" s="26">
        <f t="shared" si="8"/>
        <v>0.25</v>
      </c>
      <c r="N51" s="14" t="s">
        <v>129</v>
      </c>
    </row>
    <row r="52" spans="1:14">
      <c r="A52" s="9" t="s">
        <v>130</v>
      </c>
      <c r="B52" s="10" t="s">
        <v>70</v>
      </c>
      <c r="C52" s="23">
        <v>2.5000000000000001E-3</v>
      </c>
      <c r="D52" s="24">
        <f t="shared" si="0"/>
        <v>2.5000000000000001E-3</v>
      </c>
      <c r="E52" s="24">
        <f t="shared" si="1"/>
        <v>2.5000000000000001E-3</v>
      </c>
      <c r="F52" s="24">
        <f t="shared" si="2"/>
        <v>2.5000000000000001E-3</v>
      </c>
      <c r="G52" s="24">
        <f t="shared" si="3"/>
        <v>2.5000000000000001E-3</v>
      </c>
      <c r="H52" s="24">
        <f t="shared" si="4"/>
        <v>2.5000000000000001E-3</v>
      </c>
      <c r="I52" s="24">
        <f t="shared" si="5"/>
        <v>2.5000000000000001E-3</v>
      </c>
      <c r="J52" s="24">
        <f t="shared" si="6"/>
        <v>2.5000000000000001E-3</v>
      </c>
      <c r="K52" s="24">
        <f t="shared" si="7"/>
        <v>2.5000000000000001E-3</v>
      </c>
      <c r="L52" s="24">
        <f t="shared" si="8"/>
        <v>2.5000000000000001E-3</v>
      </c>
      <c r="N52" s="14" t="s">
        <v>131</v>
      </c>
    </row>
    <row r="53" spans="1:14">
      <c r="A53" s="9" t="s">
        <v>132</v>
      </c>
      <c r="B53" s="10" t="s">
        <v>79</v>
      </c>
      <c r="C53" s="25">
        <v>0.25</v>
      </c>
      <c r="D53" s="26">
        <f t="shared" si="0"/>
        <v>0.25</v>
      </c>
      <c r="E53" s="26">
        <f t="shared" si="1"/>
        <v>0.25</v>
      </c>
      <c r="F53" s="26">
        <f t="shared" si="2"/>
        <v>0.25</v>
      </c>
      <c r="G53" s="26">
        <f t="shared" si="3"/>
        <v>0.25</v>
      </c>
      <c r="H53" s="26">
        <f t="shared" si="4"/>
        <v>0.25</v>
      </c>
      <c r="I53" s="26">
        <f t="shared" si="5"/>
        <v>0.25</v>
      </c>
      <c r="J53" s="26">
        <f t="shared" si="6"/>
        <v>0.25</v>
      </c>
      <c r="K53" s="26">
        <f t="shared" si="7"/>
        <v>0.25</v>
      </c>
      <c r="L53" s="26">
        <f t="shared" si="8"/>
        <v>0.25</v>
      </c>
      <c r="N53" s="14" t="s">
        <v>131</v>
      </c>
    </row>
    <row r="54" spans="1:14">
      <c r="A54" s="9" t="s">
        <v>133</v>
      </c>
      <c r="B54" s="10" t="s">
        <v>79</v>
      </c>
      <c r="C54" s="16">
        <v>9.1999999999999993</v>
      </c>
      <c r="D54" s="26">
        <f t="shared" si="0"/>
        <v>9.1999999999999993</v>
      </c>
      <c r="E54" s="26">
        <f t="shared" si="1"/>
        <v>9.1999999999999993</v>
      </c>
      <c r="F54" s="26">
        <f t="shared" si="2"/>
        <v>9.1999999999999993</v>
      </c>
      <c r="G54" s="26">
        <f t="shared" si="3"/>
        <v>9.1999999999999993</v>
      </c>
      <c r="H54" s="26">
        <f t="shared" si="4"/>
        <v>9.1999999999999993</v>
      </c>
      <c r="I54" s="26">
        <f t="shared" si="5"/>
        <v>9.1999999999999993</v>
      </c>
      <c r="J54" s="26">
        <f t="shared" si="6"/>
        <v>9.1999999999999993</v>
      </c>
      <c r="K54" s="26">
        <f t="shared" si="7"/>
        <v>9.1999999999999993</v>
      </c>
      <c r="L54" s="26">
        <f t="shared" si="8"/>
        <v>9.1999999999999993</v>
      </c>
    </row>
    <row r="55" spans="1:14">
      <c r="A55" s="9" t="s">
        <v>134</v>
      </c>
      <c r="B55" s="10" t="s">
        <v>79</v>
      </c>
      <c r="C55" s="18">
        <v>1800</v>
      </c>
      <c r="D55" s="22">
        <f t="shared" si="0"/>
        <v>1800</v>
      </c>
      <c r="E55" s="22">
        <f t="shared" si="1"/>
        <v>1800</v>
      </c>
      <c r="F55" s="22">
        <f t="shared" si="2"/>
        <v>1800</v>
      </c>
      <c r="G55" s="22">
        <f t="shared" si="3"/>
        <v>1800</v>
      </c>
      <c r="H55" s="22">
        <f t="shared" si="4"/>
        <v>1800</v>
      </c>
      <c r="I55" s="22">
        <f t="shared" si="5"/>
        <v>1800</v>
      </c>
      <c r="J55" s="22">
        <f t="shared" si="6"/>
        <v>1800</v>
      </c>
      <c r="K55" s="22">
        <f t="shared" si="7"/>
        <v>1800</v>
      </c>
      <c r="L55" s="22">
        <f t="shared" si="8"/>
        <v>1800</v>
      </c>
    </row>
    <row r="57" spans="1:14">
      <c r="A57" s="7" t="s">
        <v>135</v>
      </c>
      <c r="B57" s="8"/>
      <c r="C57" s="8"/>
      <c r="D57" s="8"/>
      <c r="E57" s="8"/>
      <c r="F57" s="8"/>
      <c r="G57" s="8"/>
      <c r="H57" s="8"/>
      <c r="I57" s="8"/>
      <c r="J57" s="8"/>
      <c r="K57" s="8"/>
      <c r="L57" s="8"/>
    </row>
    <row r="58" spans="1:14">
      <c r="A58" s="9" t="s">
        <v>136</v>
      </c>
      <c r="B58" s="10" t="s">
        <v>79</v>
      </c>
      <c r="C58" s="18">
        <v>150</v>
      </c>
      <c r="D58" s="18">
        <v>420</v>
      </c>
      <c r="E58" s="18">
        <v>1000</v>
      </c>
      <c r="F58" s="18">
        <v>2000</v>
      </c>
      <c r="G58" s="18">
        <v>3200</v>
      </c>
      <c r="H58" s="18">
        <v>4300</v>
      </c>
      <c r="I58" s="18">
        <v>5300</v>
      </c>
      <c r="J58" s="18">
        <v>6200</v>
      </c>
      <c r="K58" s="18">
        <v>7000</v>
      </c>
      <c r="L58" s="18">
        <v>7800</v>
      </c>
    </row>
    <row r="59" spans="1:14">
      <c r="A59" s="9" t="s">
        <v>137</v>
      </c>
      <c r="B59" s="10" t="s">
        <v>138</v>
      </c>
      <c r="C59" s="17">
        <v>1.8</v>
      </c>
      <c r="D59" s="27">
        <f>C59</f>
        <v>1.8</v>
      </c>
      <c r="E59" s="27">
        <f>C59</f>
        <v>1.8</v>
      </c>
      <c r="F59" s="27">
        <f>C59</f>
        <v>1.8</v>
      </c>
      <c r="G59" s="27">
        <f>C59</f>
        <v>1.8</v>
      </c>
      <c r="H59" s="27">
        <f>C59</f>
        <v>1.8</v>
      </c>
      <c r="I59" s="27">
        <f>C59</f>
        <v>1.8</v>
      </c>
      <c r="J59" s="27">
        <f>C59</f>
        <v>1.8</v>
      </c>
      <c r="K59" s="27">
        <f>C59</f>
        <v>1.8</v>
      </c>
      <c r="L59" s="27">
        <f>C59</f>
        <v>1.8</v>
      </c>
    </row>
    <row r="60" spans="1:14">
      <c r="A60" s="9" t="s">
        <v>139</v>
      </c>
      <c r="B60" s="10" t="s">
        <v>79</v>
      </c>
      <c r="C60" s="28">
        <v>8.0000000000000002E-3</v>
      </c>
      <c r="D60" s="29">
        <f>C60</f>
        <v>8.0000000000000002E-3</v>
      </c>
      <c r="E60" s="29">
        <f>C60</f>
        <v>8.0000000000000002E-3</v>
      </c>
      <c r="F60" s="29">
        <f>C60</f>
        <v>8.0000000000000002E-3</v>
      </c>
      <c r="G60" s="29">
        <f>C60</f>
        <v>8.0000000000000002E-3</v>
      </c>
      <c r="H60" s="29">
        <f>C60</f>
        <v>8.0000000000000002E-3</v>
      </c>
      <c r="I60" s="29">
        <f>C60</f>
        <v>8.0000000000000002E-3</v>
      </c>
      <c r="J60" s="29">
        <f>C60</f>
        <v>8.0000000000000002E-3</v>
      </c>
      <c r="K60" s="29">
        <f>C60</f>
        <v>8.0000000000000002E-3</v>
      </c>
      <c r="L60" s="29">
        <f>C60</f>
        <v>8.0000000000000002E-3</v>
      </c>
      <c r="N60" s="14" t="s">
        <v>140</v>
      </c>
    </row>
    <row r="61" spans="1:14">
      <c r="A61" s="9" t="s">
        <v>141</v>
      </c>
      <c r="B61" s="10" t="s">
        <v>79</v>
      </c>
      <c r="C61" s="28">
        <v>7.4999999999999997E-2</v>
      </c>
      <c r="D61" s="29">
        <f>C61</f>
        <v>7.4999999999999997E-2</v>
      </c>
      <c r="E61" s="29">
        <f>C61</f>
        <v>7.4999999999999997E-2</v>
      </c>
      <c r="F61" s="29">
        <f>C61</f>
        <v>7.4999999999999997E-2</v>
      </c>
      <c r="G61" s="29">
        <f>C61</f>
        <v>7.4999999999999997E-2</v>
      </c>
      <c r="H61" s="29">
        <f>C61</f>
        <v>7.4999999999999997E-2</v>
      </c>
      <c r="I61" s="29">
        <f>C61</f>
        <v>7.4999999999999997E-2</v>
      </c>
      <c r="J61" s="29">
        <f>C61</f>
        <v>7.4999999999999997E-2</v>
      </c>
      <c r="K61" s="29">
        <f>C61</f>
        <v>7.4999999999999997E-2</v>
      </c>
      <c r="L61" s="29">
        <f>C61</f>
        <v>7.4999999999999997E-2</v>
      </c>
      <c r="N61" s="14" t="s">
        <v>142</v>
      </c>
    </row>
    <row r="62" spans="1:14">
      <c r="A62" s="9" t="s">
        <v>143</v>
      </c>
      <c r="B62" s="10" t="s">
        <v>79</v>
      </c>
      <c r="C62" s="16">
        <v>22</v>
      </c>
      <c r="D62" s="26">
        <f>C62</f>
        <v>22</v>
      </c>
      <c r="E62" s="26">
        <f>C62</f>
        <v>22</v>
      </c>
      <c r="F62" s="26">
        <f>C62</f>
        <v>22</v>
      </c>
      <c r="G62" s="26">
        <f>C62</f>
        <v>22</v>
      </c>
      <c r="H62" s="26">
        <f>C62</f>
        <v>22</v>
      </c>
      <c r="I62" s="26">
        <f>C62</f>
        <v>22</v>
      </c>
      <c r="J62" s="26">
        <f>C62</f>
        <v>22</v>
      </c>
      <c r="K62" s="26">
        <f>C62</f>
        <v>22</v>
      </c>
      <c r="L62" s="26">
        <f>C62</f>
        <v>22</v>
      </c>
    </row>
    <row r="63" spans="1:14">
      <c r="A63" s="9" t="s">
        <v>144</v>
      </c>
      <c r="B63" s="10" t="s">
        <v>68</v>
      </c>
      <c r="C63" s="17">
        <v>12</v>
      </c>
      <c r="D63" s="27">
        <f>C63</f>
        <v>12</v>
      </c>
      <c r="E63" s="27">
        <f>C63</f>
        <v>12</v>
      </c>
      <c r="F63" s="27">
        <f>C63</f>
        <v>12</v>
      </c>
      <c r="G63" s="27">
        <f>C63</f>
        <v>12</v>
      </c>
      <c r="H63" s="27">
        <f>C63</f>
        <v>12</v>
      </c>
      <c r="I63" s="27">
        <f>C63</f>
        <v>12</v>
      </c>
      <c r="J63" s="27">
        <f>C63</f>
        <v>12</v>
      </c>
      <c r="K63" s="27">
        <f>C63</f>
        <v>12</v>
      </c>
      <c r="L63" s="27">
        <f>C63</f>
        <v>12</v>
      </c>
    </row>
    <row r="65" spans="1:12">
      <c r="A65" s="7" t="s">
        <v>145</v>
      </c>
      <c r="B65" s="8"/>
      <c r="C65" s="8"/>
      <c r="D65" s="8"/>
      <c r="E65" s="8"/>
      <c r="F65" s="8"/>
      <c r="G65" s="8"/>
      <c r="H65" s="8"/>
      <c r="I65" s="8"/>
      <c r="J65" s="8"/>
      <c r="K65" s="8"/>
      <c r="L65" s="8"/>
    </row>
    <row r="66" spans="1:12">
      <c r="A66" s="9" t="s">
        <v>146</v>
      </c>
      <c r="B66" s="10" t="s">
        <v>147</v>
      </c>
      <c r="C66" s="27">
        <f>HiringPlan!C12</f>
        <v>1</v>
      </c>
      <c r="D66" s="27">
        <f>HiringPlan!D12</f>
        <v>1.5</v>
      </c>
      <c r="E66" s="27">
        <f>HiringPlan!E12</f>
        <v>1.5</v>
      </c>
      <c r="F66" s="27">
        <f>HiringPlan!F12</f>
        <v>2</v>
      </c>
      <c r="G66" s="27">
        <f>HiringPlan!G12</f>
        <v>4</v>
      </c>
      <c r="H66" s="27">
        <f>HiringPlan!H12</f>
        <v>7</v>
      </c>
      <c r="I66" s="27">
        <f>HiringPlan!I12</f>
        <v>10</v>
      </c>
      <c r="J66" s="27">
        <f>HiringPlan!J12</f>
        <v>12.5</v>
      </c>
      <c r="K66" s="27">
        <f>HiringPlan!K12</f>
        <v>14.5</v>
      </c>
      <c r="L66" s="27">
        <f>HiringPlan!L12</f>
        <v>16</v>
      </c>
    </row>
    <row r="67" spans="1:12">
      <c r="A67" s="9" t="s">
        <v>148</v>
      </c>
      <c r="B67" s="10" t="s">
        <v>79</v>
      </c>
      <c r="C67" s="18">
        <v>38000</v>
      </c>
      <c r="D67" s="18">
        <v>52000</v>
      </c>
      <c r="E67" s="18">
        <v>60000</v>
      </c>
      <c r="F67" s="18">
        <v>64000</v>
      </c>
      <c r="G67" s="18">
        <v>66000</v>
      </c>
      <c r="H67" s="18">
        <v>68000</v>
      </c>
      <c r="I67" s="18">
        <v>70000</v>
      </c>
      <c r="J67" s="18">
        <v>72000</v>
      </c>
      <c r="K67" s="18">
        <v>74000</v>
      </c>
      <c r="L67" s="18">
        <v>76000</v>
      </c>
    </row>
    <row r="68" spans="1:12">
      <c r="A68" s="9" t="s">
        <v>149</v>
      </c>
      <c r="B68" s="10" t="s">
        <v>68</v>
      </c>
      <c r="C68" s="11">
        <v>1</v>
      </c>
      <c r="D68" s="11">
        <v>2</v>
      </c>
      <c r="E68" s="11">
        <v>2</v>
      </c>
      <c r="F68" s="11">
        <v>2</v>
      </c>
      <c r="G68" s="11">
        <v>3</v>
      </c>
      <c r="H68" s="11">
        <v>4</v>
      </c>
      <c r="I68" s="11">
        <v>5</v>
      </c>
      <c r="J68" s="11">
        <v>6</v>
      </c>
      <c r="K68" s="11">
        <v>6</v>
      </c>
      <c r="L68" s="11">
        <v>6</v>
      </c>
    </row>
    <row r="69" spans="1:12">
      <c r="A69" s="9" t="s">
        <v>150</v>
      </c>
      <c r="B69" s="10" t="s">
        <v>151</v>
      </c>
      <c r="C69" s="30">
        <v>3600</v>
      </c>
      <c r="D69" s="30">
        <v>3600</v>
      </c>
      <c r="E69" s="30">
        <v>3600</v>
      </c>
      <c r="F69" s="30">
        <v>3600</v>
      </c>
      <c r="G69" s="30">
        <v>3600</v>
      </c>
      <c r="H69" s="30">
        <v>3600</v>
      </c>
      <c r="I69" s="30">
        <v>3600</v>
      </c>
      <c r="J69" s="30">
        <v>3600</v>
      </c>
      <c r="K69" s="30">
        <v>3600</v>
      </c>
      <c r="L69" s="30">
        <v>3600</v>
      </c>
    </row>
    <row r="70" spans="1:12">
      <c r="A70" s="9" t="s">
        <v>152</v>
      </c>
      <c r="B70" s="10" t="s">
        <v>79</v>
      </c>
      <c r="C70" s="30">
        <v>900</v>
      </c>
      <c r="D70" s="30">
        <v>900</v>
      </c>
      <c r="E70" s="30">
        <v>900</v>
      </c>
      <c r="F70" s="30">
        <v>900</v>
      </c>
      <c r="G70" s="30">
        <v>900</v>
      </c>
      <c r="H70" s="30">
        <v>900</v>
      </c>
      <c r="I70" s="30">
        <v>900</v>
      </c>
      <c r="J70" s="30">
        <v>900</v>
      </c>
      <c r="K70" s="30">
        <v>900</v>
      </c>
      <c r="L70" s="30">
        <v>900</v>
      </c>
    </row>
    <row r="71" spans="1:12">
      <c r="A71" s="9" t="s">
        <v>153</v>
      </c>
      <c r="B71" s="10" t="s">
        <v>154</v>
      </c>
      <c r="C71" s="30">
        <v>2500</v>
      </c>
      <c r="D71" s="30">
        <v>2500</v>
      </c>
      <c r="E71" s="30">
        <v>2500</v>
      </c>
      <c r="F71" s="30">
        <v>2500</v>
      </c>
      <c r="G71" s="30">
        <v>2500</v>
      </c>
      <c r="H71" s="30">
        <v>2500</v>
      </c>
      <c r="I71" s="30">
        <v>2500</v>
      </c>
      <c r="J71" s="30">
        <v>2500</v>
      </c>
      <c r="K71" s="30">
        <v>2500</v>
      </c>
      <c r="L71" s="30">
        <v>2500</v>
      </c>
    </row>
    <row r="72" spans="1:12">
      <c r="A72" s="9" t="s">
        <v>155</v>
      </c>
      <c r="B72" s="10" t="s">
        <v>154</v>
      </c>
      <c r="C72" s="30">
        <v>8000</v>
      </c>
      <c r="D72" s="30">
        <v>8000</v>
      </c>
      <c r="E72" s="30">
        <v>8000</v>
      </c>
      <c r="F72" s="30">
        <v>8000</v>
      </c>
      <c r="G72" s="30">
        <v>8000</v>
      </c>
      <c r="H72" s="30">
        <v>8000</v>
      </c>
      <c r="I72" s="30">
        <v>8000</v>
      </c>
      <c r="J72" s="30">
        <v>8000</v>
      </c>
      <c r="K72" s="30">
        <v>8000</v>
      </c>
      <c r="L72" s="30">
        <v>8000</v>
      </c>
    </row>
    <row r="73" spans="1:12">
      <c r="A73" s="9" t="s">
        <v>156</v>
      </c>
      <c r="B73" s="10" t="s">
        <v>79</v>
      </c>
      <c r="C73" s="30">
        <v>2500</v>
      </c>
      <c r="D73" s="30">
        <v>2500</v>
      </c>
      <c r="E73" s="30">
        <v>2500</v>
      </c>
      <c r="F73" s="30">
        <v>2500</v>
      </c>
      <c r="G73" s="30">
        <v>2500</v>
      </c>
      <c r="H73" s="30">
        <v>2500</v>
      </c>
      <c r="I73" s="30">
        <v>2500</v>
      </c>
      <c r="J73" s="30">
        <v>2500</v>
      </c>
      <c r="K73" s="30">
        <v>2500</v>
      </c>
      <c r="L73" s="30">
        <v>2500</v>
      </c>
    </row>
    <row r="74" spans="1:12">
      <c r="A74" s="9" t="s">
        <v>157</v>
      </c>
      <c r="B74" s="10" t="s">
        <v>158</v>
      </c>
      <c r="C74" s="18">
        <v>0</v>
      </c>
      <c r="D74" s="18">
        <v>6000</v>
      </c>
      <c r="E74" s="18">
        <v>5400</v>
      </c>
      <c r="F74" s="18">
        <v>5800</v>
      </c>
      <c r="G74" s="18">
        <v>6200</v>
      </c>
      <c r="H74" s="18">
        <v>6600</v>
      </c>
      <c r="I74" s="18">
        <v>7000</v>
      </c>
      <c r="J74" s="18">
        <v>7400</v>
      </c>
      <c r="K74" s="18">
        <v>7800</v>
      </c>
      <c r="L74" s="18">
        <v>8200</v>
      </c>
    </row>
    <row r="75" spans="1:12">
      <c r="A75" s="9" t="s">
        <v>159</v>
      </c>
      <c r="B75" s="10" t="s">
        <v>160</v>
      </c>
      <c r="C75" s="30">
        <v>7000</v>
      </c>
      <c r="D75" s="30">
        <v>7000</v>
      </c>
      <c r="E75" s="30">
        <v>7000</v>
      </c>
      <c r="F75" s="30">
        <v>7000</v>
      </c>
      <c r="G75" s="30">
        <v>7000</v>
      </c>
      <c r="H75" s="30">
        <v>7000</v>
      </c>
      <c r="I75" s="30">
        <v>7000</v>
      </c>
      <c r="J75" s="30">
        <v>7000</v>
      </c>
      <c r="K75" s="30">
        <v>7000</v>
      </c>
      <c r="L75" s="30">
        <v>7000</v>
      </c>
    </row>
    <row r="76" spans="1:12">
      <c r="A76" s="9" t="s">
        <v>161</v>
      </c>
      <c r="B76" s="10" t="s">
        <v>151</v>
      </c>
      <c r="C76" s="30">
        <v>2500</v>
      </c>
      <c r="D76" s="30">
        <v>2500</v>
      </c>
      <c r="E76" s="30">
        <v>2500</v>
      </c>
      <c r="F76" s="30">
        <v>2500</v>
      </c>
      <c r="G76" s="30">
        <v>2500</v>
      </c>
      <c r="H76" s="30">
        <v>2500</v>
      </c>
      <c r="I76" s="30">
        <v>2500</v>
      </c>
      <c r="J76" s="30">
        <v>2500</v>
      </c>
      <c r="K76" s="30">
        <v>2500</v>
      </c>
      <c r="L76" s="30">
        <v>2500</v>
      </c>
    </row>
    <row r="77" spans="1:12">
      <c r="A77" s="9" t="s">
        <v>162</v>
      </c>
      <c r="B77" s="10" t="s">
        <v>79</v>
      </c>
      <c r="C77" s="18">
        <v>8000</v>
      </c>
      <c r="D77" s="18">
        <v>10000</v>
      </c>
      <c r="E77" s="18">
        <v>0</v>
      </c>
      <c r="F77" s="18">
        <v>0</v>
      </c>
      <c r="G77" s="18">
        <v>0</v>
      </c>
      <c r="H77" s="18">
        <v>25000</v>
      </c>
      <c r="I77" s="18">
        <v>0</v>
      </c>
      <c r="J77" s="18">
        <v>0</v>
      </c>
      <c r="K77" s="18">
        <v>0</v>
      </c>
      <c r="L77" s="18">
        <v>0</v>
      </c>
    </row>
    <row r="78" spans="1:12">
      <c r="A78" s="9" t="s">
        <v>163</v>
      </c>
      <c r="B78" s="10" t="s">
        <v>79</v>
      </c>
      <c r="C78" s="18">
        <v>6000</v>
      </c>
      <c r="D78" s="18">
        <v>1500</v>
      </c>
      <c r="E78" s="18">
        <v>1500</v>
      </c>
      <c r="F78" s="18">
        <v>1500</v>
      </c>
      <c r="G78" s="18">
        <v>1500</v>
      </c>
      <c r="H78" s="18">
        <v>1500</v>
      </c>
      <c r="I78" s="18">
        <v>1500</v>
      </c>
      <c r="J78" s="18">
        <v>1500</v>
      </c>
      <c r="K78" s="18">
        <v>1500</v>
      </c>
      <c r="L78" s="18">
        <v>1500</v>
      </c>
    </row>
    <row r="79" spans="1:12">
      <c r="A79" s="9" t="s">
        <v>164</v>
      </c>
      <c r="B79" s="10" t="s">
        <v>79</v>
      </c>
      <c r="C79" s="30">
        <v>2000</v>
      </c>
      <c r="D79" s="30">
        <v>2000</v>
      </c>
      <c r="E79" s="30">
        <v>2000</v>
      </c>
      <c r="F79" s="30">
        <v>2000</v>
      </c>
      <c r="G79" s="30">
        <v>2000</v>
      </c>
      <c r="H79" s="30">
        <v>2000</v>
      </c>
      <c r="I79" s="30">
        <v>2000</v>
      </c>
      <c r="J79" s="30">
        <v>2000</v>
      </c>
      <c r="K79" s="30">
        <v>2000</v>
      </c>
      <c r="L79" s="30">
        <v>2000</v>
      </c>
    </row>
    <row r="80" spans="1:12">
      <c r="A80" s="9" t="s">
        <v>165</v>
      </c>
      <c r="B80" s="10" t="s">
        <v>79</v>
      </c>
      <c r="C80" s="30">
        <v>500</v>
      </c>
      <c r="D80" s="30">
        <v>500</v>
      </c>
      <c r="E80" s="30">
        <v>500</v>
      </c>
      <c r="F80" s="30">
        <v>500</v>
      </c>
      <c r="G80" s="30">
        <v>500</v>
      </c>
      <c r="H80" s="30">
        <v>500</v>
      </c>
      <c r="I80" s="30">
        <v>500</v>
      </c>
      <c r="J80" s="30">
        <v>500</v>
      </c>
      <c r="K80" s="30">
        <v>500</v>
      </c>
      <c r="L80" s="30">
        <v>500</v>
      </c>
    </row>
    <row r="81" spans="1:14">
      <c r="A81" s="9" t="s">
        <v>166</v>
      </c>
      <c r="B81" s="10" t="s">
        <v>167</v>
      </c>
      <c r="C81" s="30">
        <v>1500</v>
      </c>
      <c r="D81" s="30">
        <v>1500</v>
      </c>
      <c r="E81" s="30">
        <v>1500</v>
      </c>
      <c r="F81" s="30">
        <v>1500</v>
      </c>
      <c r="G81" s="30">
        <v>1500</v>
      </c>
      <c r="H81" s="30">
        <v>1500</v>
      </c>
      <c r="I81" s="30">
        <v>1500</v>
      </c>
      <c r="J81" s="30">
        <v>1500</v>
      </c>
      <c r="K81" s="30">
        <v>1500</v>
      </c>
      <c r="L81" s="30">
        <v>1500</v>
      </c>
    </row>
    <row r="82" spans="1:14">
      <c r="A82" s="9" t="s">
        <v>168</v>
      </c>
      <c r="B82" s="10" t="s">
        <v>147</v>
      </c>
      <c r="C82" s="17">
        <v>4</v>
      </c>
      <c r="D82" s="17">
        <v>4</v>
      </c>
      <c r="E82" s="17">
        <v>4</v>
      </c>
      <c r="F82" s="17">
        <v>4</v>
      </c>
      <c r="G82" s="17">
        <v>4</v>
      </c>
      <c r="H82" s="17">
        <v>4</v>
      </c>
      <c r="I82" s="17">
        <v>4</v>
      </c>
      <c r="J82" s="17">
        <v>4</v>
      </c>
      <c r="K82" s="17">
        <v>4</v>
      </c>
      <c r="L82" s="17">
        <v>4</v>
      </c>
    </row>
    <row r="83" spans="1:14">
      <c r="A83" s="9" t="s">
        <v>169</v>
      </c>
      <c r="B83" s="10" t="s">
        <v>170</v>
      </c>
      <c r="C83" s="31">
        <v>2.9999999999999997E-4</v>
      </c>
      <c r="D83" s="31">
        <v>2.9999999999999997E-4</v>
      </c>
      <c r="E83" s="31">
        <v>2.9999999999999997E-4</v>
      </c>
      <c r="F83" s="31">
        <v>2.9999999999999997E-4</v>
      </c>
      <c r="G83" s="31">
        <v>2.9999999999999997E-4</v>
      </c>
      <c r="H83" s="31">
        <v>2.9999999999999997E-4</v>
      </c>
      <c r="I83" s="31">
        <v>2.9999999999999997E-4</v>
      </c>
      <c r="J83" s="31">
        <v>2.9999999999999997E-4</v>
      </c>
      <c r="K83" s="31">
        <v>2.9999999999999997E-4</v>
      </c>
      <c r="L83" s="31">
        <v>2.9999999999999997E-4</v>
      </c>
    </row>
    <row r="84" spans="1:14">
      <c r="A84" s="9" t="s">
        <v>171</v>
      </c>
      <c r="B84" s="10" t="s">
        <v>172</v>
      </c>
      <c r="C84" s="12">
        <v>0.15</v>
      </c>
      <c r="D84" s="12">
        <v>0.15</v>
      </c>
      <c r="E84" s="12">
        <v>0.15</v>
      </c>
      <c r="F84" s="12">
        <v>0.15</v>
      </c>
      <c r="G84" s="12">
        <v>0.15</v>
      </c>
      <c r="H84" s="12">
        <v>0.15</v>
      </c>
      <c r="I84" s="12">
        <v>0.15</v>
      </c>
      <c r="J84" s="12">
        <v>0.15</v>
      </c>
      <c r="K84" s="12">
        <v>0.15</v>
      </c>
      <c r="L84" s="12">
        <v>0.15</v>
      </c>
    </row>
    <row r="85" spans="1:14">
      <c r="A85" s="9" t="s">
        <v>173</v>
      </c>
      <c r="B85" s="10" t="s">
        <v>70</v>
      </c>
      <c r="C85" s="12">
        <v>0.08</v>
      </c>
      <c r="D85" s="19">
        <f>C85</f>
        <v>0.08</v>
      </c>
      <c r="E85" s="19">
        <f>C85</f>
        <v>0.08</v>
      </c>
      <c r="F85" s="19">
        <f>C85</f>
        <v>0.08</v>
      </c>
      <c r="G85" s="19">
        <f>C85</f>
        <v>0.08</v>
      </c>
      <c r="H85" s="19">
        <f>C85</f>
        <v>0.08</v>
      </c>
      <c r="I85" s="19">
        <f>C85</f>
        <v>0.08</v>
      </c>
      <c r="J85" s="19">
        <f>C85</f>
        <v>0.08</v>
      </c>
      <c r="K85" s="19">
        <f>C85</f>
        <v>0.08</v>
      </c>
      <c r="L85" s="19">
        <f>C85</f>
        <v>0.08</v>
      </c>
    </row>
    <row r="87" spans="1:14">
      <c r="A87" s="7" t="s">
        <v>174</v>
      </c>
      <c r="B87" s="8"/>
      <c r="C87" s="8"/>
      <c r="D87" s="8"/>
      <c r="E87" s="8"/>
      <c r="F87" s="8"/>
      <c r="G87" s="8"/>
      <c r="H87" s="8"/>
      <c r="I87" s="8"/>
      <c r="J87" s="8"/>
      <c r="K87" s="8"/>
      <c r="L87" s="8"/>
    </row>
    <row r="88" spans="1:14">
      <c r="A88" s="9" t="s">
        <v>175</v>
      </c>
      <c r="B88" s="10" t="s">
        <v>176</v>
      </c>
      <c r="C88" s="11">
        <v>15</v>
      </c>
      <c r="D88" s="13">
        <f t="shared" ref="D88:D95" si="9">C88</f>
        <v>15</v>
      </c>
      <c r="E88" s="13">
        <f t="shared" ref="E88:E95" si="10">C88</f>
        <v>15</v>
      </c>
      <c r="F88" s="13">
        <f t="shared" ref="F88:F95" si="11">C88</f>
        <v>15</v>
      </c>
      <c r="G88" s="13">
        <f t="shared" ref="G88:G95" si="12">C88</f>
        <v>15</v>
      </c>
      <c r="H88" s="13">
        <f t="shared" ref="H88:H95" si="13">C88</f>
        <v>15</v>
      </c>
      <c r="I88" s="13">
        <f t="shared" ref="I88:I95" si="14">C88</f>
        <v>15</v>
      </c>
      <c r="J88" s="13">
        <f t="shared" ref="J88:J95" si="15">C88</f>
        <v>15</v>
      </c>
      <c r="K88" s="13">
        <f t="shared" ref="K88:K95" si="16">C88</f>
        <v>15</v>
      </c>
      <c r="L88" s="13">
        <f t="shared" ref="L88:L95" si="17">C88</f>
        <v>15</v>
      </c>
      <c r="N88" s="14" t="s">
        <v>177</v>
      </c>
    </row>
    <row r="89" spans="1:14">
      <c r="A89" s="9" t="s">
        <v>178</v>
      </c>
      <c r="B89" s="10" t="s">
        <v>176</v>
      </c>
      <c r="C89" s="11">
        <v>45</v>
      </c>
      <c r="D89" s="13">
        <f t="shared" si="9"/>
        <v>45</v>
      </c>
      <c r="E89" s="13">
        <f t="shared" si="10"/>
        <v>45</v>
      </c>
      <c r="F89" s="13">
        <f t="shared" si="11"/>
        <v>45</v>
      </c>
      <c r="G89" s="13">
        <f t="shared" si="12"/>
        <v>45</v>
      </c>
      <c r="H89" s="13">
        <f t="shared" si="13"/>
        <v>45</v>
      </c>
      <c r="I89" s="13">
        <f t="shared" si="14"/>
        <v>45</v>
      </c>
      <c r="J89" s="13">
        <f t="shared" si="15"/>
        <v>45</v>
      </c>
      <c r="K89" s="13">
        <f t="shared" si="16"/>
        <v>45</v>
      </c>
      <c r="L89" s="13">
        <f t="shared" si="17"/>
        <v>45</v>
      </c>
    </row>
    <row r="90" spans="1:14">
      <c r="A90" s="9" t="s">
        <v>179</v>
      </c>
      <c r="B90" s="10" t="s">
        <v>176</v>
      </c>
      <c r="C90" s="11">
        <v>30</v>
      </c>
      <c r="D90" s="13">
        <f t="shared" si="9"/>
        <v>30</v>
      </c>
      <c r="E90" s="13">
        <f t="shared" si="10"/>
        <v>30</v>
      </c>
      <c r="F90" s="13">
        <f t="shared" si="11"/>
        <v>30</v>
      </c>
      <c r="G90" s="13">
        <f t="shared" si="12"/>
        <v>30</v>
      </c>
      <c r="H90" s="13">
        <f t="shared" si="13"/>
        <v>30</v>
      </c>
      <c r="I90" s="13">
        <f t="shared" si="14"/>
        <v>30</v>
      </c>
      <c r="J90" s="13">
        <f t="shared" si="15"/>
        <v>30</v>
      </c>
      <c r="K90" s="13">
        <f t="shared" si="16"/>
        <v>30</v>
      </c>
      <c r="L90" s="13">
        <f t="shared" si="17"/>
        <v>30</v>
      </c>
    </row>
    <row r="91" spans="1:14">
      <c r="A91" s="9" t="s">
        <v>180</v>
      </c>
      <c r="B91" s="10" t="s">
        <v>181</v>
      </c>
      <c r="C91" s="12">
        <v>0.3</v>
      </c>
      <c r="D91" s="19">
        <f t="shared" si="9"/>
        <v>0.3</v>
      </c>
      <c r="E91" s="19">
        <f t="shared" si="10"/>
        <v>0.3</v>
      </c>
      <c r="F91" s="19">
        <f t="shared" si="11"/>
        <v>0.3</v>
      </c>
      <c r="G91" s="19">
        <f t="shared" si="12"/>
        <v>0.3</v>
      </c>
      <c r="H91" s="19">
        <f t="shared" si="13"/>
        <v>0.3</v>
      </c>
      <c r="I91" s="19">
        <f t="shared" si="14"/>
        <v>0.3</v>
      </c>
      <c r="J91" s="19">
        <f t="shared" si="15"/>
        <v>0.3</v>
      </c>
      <c r="K91" s="19">
        <f t="shared" si="16"/>
        <v>0.3</v>
      </c>
      <c r="L91" s="19">
        <f t="shared" si="17"/>
        <v>0.3</v>
      </c>
    </row>
    <row r="92" spans="1:14">
      <c r="A92" s="9" t="s">
        <v>182</v>
      </c>
      <c r="B92" s="10" t="s">
        <v>183</v>
      </c>
      <c r="C92" s="32">
        <v>3</v>
      </c>
      <c r="D92" s="33">
        <f t="shared" si="9"/>
        <v>3</v>
      </c>
      <c r="E92" s="33">
        <f t="shared" si="10"/>
        <v>3</v>
      </c>
      <c r="F92" s="33">
        <f t="shared" si="11"/>
        <v>3</v>
      </c>
      <c r="G92" s="33">
        <f t="shared" si="12"/>
        <v>3</v>
      </c>
      <c r="H92" s="33">
        <f t="shared" si="13"/>
        <v>3</v>
      </c>
      <c r="I92" s="33">
        <f t="shared" si="14"/>
        <v>3</v>
      </c>
      <c r="J92" s="33">
        <f t="shared" si="15"/>
        <v>3</v>
      </c>
      <c r="K92" s="33">
        <f t="shared" si="16"/>
        <v>3</v>
      </c>
      <c r="L92" s="33">
        <f t="shared" si="17"/>
        <v>3</v>
      </c>
    </row>
    <row r="93" spans="1:14">
      <c r="A93" s="9" t="s">
        <v>184</v>
      </c>
      <c r="B93" s="10" t="s">
        <v>70</v>
      </c>
      <c r="C93" s="34">
        <v>0.15</v>
      </c>
      <c r="D93" s="19">
        <f t="shared" si="9"/>
        <v>0.15</v>
      </c>
      <c r="E93" s="19">
        <f t="shared" si="10"/>
        <v>0.15</v>
      </c>
      <c r="F93" s="19">
        <f t="shared" si="11"/>
        <v>0.15</v>
      </c>
      <c r="G93" s="19">
        <f t="shared" si="12"/>
        <v>0.15</v>
      </c>
      <c r="H93" s="19">
        <f t="shared" si="13"/>
        <v>0.15</v>
      </c>
      <c r="I93" s="19">
        <f t="shared" si="14"/>
        <v>0.15</v>
      </c>
      <c r="J93" s="19">
        <f t="shared" si="15"/>
        <v>0.15</v>
      </c>
      <c r="K93" s="19">
        <f t="shared" si="16"/>
        <v>0.15</v>
      </c>
      <c r="L93" s="19">
        <f t="shared" si="17"/>
        <v>0.15</v>
      </c>
      <c r="N93" s="14" t="s">
        <v>185</v>
      </c>
    </row>
    <row r="94" spans="1:14">
      <c r="A94" s="9" t="s">
        <v>186</v>
      </c>
      <c r="B94" s="10" t="s">
        <v>70</v>
      </c>
      <c r="C94" s="34">
        <v>0.25</v>
      </c>
      <c r="D94" s="19">
        <f t="shared" si="9"/>
        <v>0.25</v>
      </c>
      <c r="E94" s="19">
        <f t="shared" si="10"/>
        <v>0.25</v>
      </c>
      <c r="F94" s="19">
        <f t="shared" si="11"/>
        <v>0.25</v>
      </c>
      <c r="G94" s="19">
        <f t="shared" si="12"/>
        <v>0.25</v>
      </c>
      <c r="H94" s="19">
        <f t="shared" si="13"/>
        <v>0.25</v>
      </c>
      <c r="I94" s="19">
        <f t="shared" si="14"/>
        <v>0.25</v>
      </c>
      <c r="J94" s="19">
        <f t="shared" si="15"/>
        <v>0.25</v>
      </c>
      <c r="K94" s="19">
        <f t="shared" si="16"/>
        <v>0.25</v>
      </c>
      <c r="L94" s="19">
        <f t="shared" si="17"/>
        <v>0.25</v>
      </c>
      <c r="N94" s="14" t="s">
        <v>187</v>
      </c>
    </row>
    <row r="95" spans="1:14">
      <c r="A95" s="9" t="s">
        <v>188</v>
      </c>
      <c r="B95" s="10" t="s">
        <v>183</v>
      </c>
      <c r="C95" s="35">
        <v>4</v>
      </c>
      <c r="D95" s="33">
        <f t="shared" si="9"/>
        <v>4</v>
      </c>
      <c r="E95" s="33">
        <f t="shared" si="10"/>
        <v>4</v>
      </c>
      <c r="F95" s="33">
        <f t="shared" si="11"/>
        <v>4</v>
      </c>
      <c r="G95" s="33">
        <f t="shared" si="12"/>
        <v>4</v>
      </c>
      <c r="H95" s="33">
        <f t="shared" si="13"/>
        <v>4</v>
      </c>
      <c r="I95" s="33">
        <f t="shared" si="14"/>
        <v>4</v>
      </c>
      <c r="J95" s="33">
        <f t="shared" si="15"/>
        <v>4</v>
      </c>
      <c r="K95" s="33">
        <f t="shared" si="16"/>
        <v>4</v>
      </c>
      <c r="L95" s="33">
        <f t="shared" si="17"/>
        <v>4</v>
      </c>
    </row>
    <row r="97" spans="1:14">
      <c r="A97" s="7" t="s">
        <v>189</v>
      </c>
      <c r="B97" s="8"/>
      <c r="C97" s="8"/>
      <c r="D97" s="8"/>
      <c r="E97" s="8"/>
      <c r="F97" s="8"/>
      <c r="G97" s="8"/>
      <c r="H97" s="8"/>
      <c r="I97" s="8"/>
      <c r="J97" s="8"/>
      <c r="K97" s="8"/>
      <c r="L97" s="8"/>
    </row>
    <row r="98" spans="1:14">
      <c r="A98" s="9" t="s">
        <v>190</v>
      </c>
      <c r="B98" s="10" t="s">
        <v>191</v>
      </c>
      <c r="C98" s="12">
        <v>0.2</v>
      </c>
      <c r="D98" s="19">
        <f>C98</f>
        <v>0.2</v>
      </c>
      <c r="E98" s="19">
        <f>C98</f>
        <v>0.2</v>
      </c>
      <c r="F98" s="19">
        <f>C98</f>
        <v>0.2</v>
      </c>
      <c r="G98" s="19">
        <f>C98</f>
        <v>0.2</v>
      </c>
      <c r="H98" s="19">
        <f>C98</f>
        <v>0.2</v>
      </c>
      <c r="I98" s="19">
        <f>C98</f>
        <v>0.2</v>
      </c>
      <c r="J98" s="19">
        <f>C98</f>
        <v>0.2</v>
      </c>
      <c r="K98" s="19">
        <f>C98</f>
        <v>0.2</v>
      </c>
      <c r="L98" s="19">
        <f>C98</f>
        <v>0.2</v>
      </c>
      <c r="N98" s="15" t="s">
        <v>192</v>
      </c>
    </row>
    <row r="99" spans="1:14">
      <c r="A99" s="9" t="s">
        <v>193</v>
      </c>
      <c r="B99" s="10" t="s">
        <v>194</v>
      </c>
      <c r="C99" s="12">
        <v>0.25</v>
      </c>
      <c r="D99" s="19">
        <f>C99</f>
        <v>0.25</v>
      </c>
      <c r="E99" s="19">
        <f>C99</f>
        <v>0.25</v>
      </c>
      <c r="F99" s="19">
        <f>C99</f>
        <v>0.25</v>
      </c>
      <c r="G99" s="19">
        <f>C99</f>
        <v>0.25</v>
      </c>
      <c r="H99" s="19">
        <f>C99</f>
        <v>0.25</v>
      </c>
      <c r="I99" s="19">
        <f>C99</f>
        <v>0.25</v>
      </c>
      <c r="J99" s="19">
        <f>C99</f>
        <v>0.25</v>
      </c>
      <c r="K99" s="19">
        <f>C99</f>
        <v>0.25</v>
      </c>
      <c r="L99" s="19">
        <f>C99</f>
        <v>0.25</v>
      </c>
      <c r="N99" s="15" t="s">
        <v>192</v>
      </c>
    </row>
    <row r="100" spans="1:14">
      <c r="A100" s="9" t="s">
        <v>195</v>
      </c>
      <c r="B100" s="10" t="s">
        <v>191</v>
      </c>
      <c r="C100" s="12">
        <v>0.45</v>
      </c>
      <c r="D100" s="19">
        <f>C100</f>
        <v>0.45</v>
      </c>
      <c r="E100" s="19">
        <f>C100</f>
        <v>0.45</v>
      </c>
      <c r="F100" s="19">
        <f>C100</f>
        <v>0.45</v>
      </c>
      <c r="G100" s="19">
        <f>C100</f>
        <v>0.45</v>
      </c>
      <c r="H100" s="19">
        <f>C100</f>
        <v>0.45</v>
      </c>
      <c r="I100" s="19">
        <f>C100</f>
        <v>0.45</v>
      </c>
      <c r="J100" s="19">
        <f>C100</f>
        <v>0.45</v>
      </c>
      <c r="K100" s="19">
        <f>C100</f>
        <v>0.45</v>
      </c>
      <c r="L100" s="19">
        <f>C100</f>
        <v>0.45</v>
      </c>
      <c r="N100" s="14" t="s">
        <v>196</v>
      </c>
    </row>
    <row r="101" spans="1:14">
      <c r="A101" s="9" t="s">
        <v>197</v>
      </c>
      <c r="B101" s="10" t="s">
        <v>194</v>
      </c>
      <c r="C101" s="12">
        <v>0.18</v>
      </c>
      <c r="D101" s="19">
        <f>C101</f>
        <v>0.18</v>
      </c>
      <c r="E101" s="19">
        <f>C101</f>
        <v>0.18</v>
      </c>
      <c r="F101" s="19">
        <f>C101</f>
        <v>0.18</v>
      </c>
      <c r="G101" s="19">
        <f>C101</f>
        <v>0.18</v>
      </c>
      <c r="H101" s="19">
        <f>C101</f>
        <v>0.18</v>
      </c>
      <c r="I101" s="19">
        <f>C101</f>
        <v>0.18</v>
      </c>
      <c r="J101" s="19">
        <f>C101</f>
        <v>0.18</v>
      </c>
      <c r="K101" s="19">
        <f>C101</f>
        <v>0.18</v>
      </c>
      <c r="L101" s="19">
        <f>C101</f>
        <v>0.18</v>
      </c>
      <c r="N101" s="14" t="s">
        <v>198</v>
      </c>
    </row>
    <row r="102" spans="1:14">
      <c r="A102" s="9" t="s">
        <v>199</v>
      </c>
      <c r="B102" s="10" t="s">
        <v>200</v>
      </c>
      <c r="C102" s="12">
        <v>0</v>
      </c>
      <c r="D102" s="12">
        <v>0.1</v>
      </c>
      <c r="E102" s="12">
        <v>0.2</v>
      </c>
      <c r="F102" s="12">
        <v>0.28000000000000003</v>
      </c>
      <c r="G102" s="12">
        <v>0.34</v>
      </c>
      <c r="H102" s="12">
        <v>0.38</v>
      </c>
      <c r="I102" s="12">
        <v>0.42</v>
      </c>
      <c r="J102" s="12">
        <v>0.44</v>
      </c>
      <c r="K102" s="12">
        <v>0.46</v>
      </c>
      <c r="L102" s="12">
        <v>0.47</v>
      </c>
      <c r="N102" s="14" t="s">
        <v>201</v>
      </c>
    </row>
    <row r="103" spans="1:14">
      <c r="A103" s="9" t="s">
        <v>202</v>
      </c>
      <c r="B103" s="10" t="s">
        <v>203</v>
      </c>
      <c r="C103" s="17">
        <v>4</v>
      </c>
      <c r="D103" s="27">
        <f>C103</f>
        <v>4</v>
      </c>
      <c r="E103" s="27">
        <f>C103</f>
        <v>4</v>
      </c>
      <c r="F103" s="27">
        <f>C103</f>
        <v>4</v>
      </c>
      <c r="G103" s="27">
        <f>C103</f>
        <v>4</v>
      </c>
      <c r="H103" s="27">
        <f>C103</f>
        <v>4</v>
      </c>
      <c r="I103" s="27">
        <f>C103</f>
        <v>4</v>
      </c>
      <c r="J103" s="27">
        <f>C103</f>
        <v>4</v>
      </c>
      <c r="K103" s="27">
        <f>C103</f>
        <v>4</v>
      </c>
      <c r="L103" s="27">
        <f>C103</f>
        <v>4</v>
      </c>
      <c r="N103" s="14" t="s">
        <v>204</v>
      </c>
    </row>
    <row r="104" spans="1:14">
      <c r="A104" s="9" t="s">
        <v>205</v>
      </c>
      <c r="B104" s="10" t="s">
        <v>206</v>
      </c>
      <c r="C104" s="11">
        <v>1700</v>
      </c>
      <c r="D104" s="13">
        <f>C104</f>
        <v>1700</v>
      </c>
      <c r="E104" s="13">
        <f>C104</f>
        <v>1700</v>
      </c>
      <c r="F104" s="13">
        <f>C104</f>
        <v>1700</v>
      </c>
      <c r="G104" s="13">
        <f>C104</f>
        <v>1700</v>
      </c>
      <c r="H104" s="13">
        <f>C104</f>
        <v>1700</v>
      </c>
      <c r="I104" s="13">
        <f>C104</f>
        <v>1700</v>
      </c>
      <c r="J104" s="13">
        <f>C104</f>
        <v>1700</v>
      </c>
      <c r="K104" s="13">
        <f>C104</f>
        <v>1700</v>
      </c>
      <c r="L104" s="13">
        <f>C104</f>
        <v>1700</v>
      </c>
      <c r="N104" s="14" t="s">
        <v>207</v>
      </c>
    </row>
    <row r="106" spans="1:14">
      <c r="A106" s="7" t="s">
        <v>208</v>
      </c>
      <c r="B106" s="8"/>
      <c r="C106" s="8"/>
      <c r="D106" s="8"/>
      <c r="E106" s="8"/>
      <c r="F106" s="8"/>
      <c r="G106" s="8"/>
      <c r="H106" s="8"/>
      <c r="I106" s="8"/>
      <c r="J106" s="8"/>
      <c r="K106" s="8"/>
      <c r="L106" s="8"/>
    </row>
    <row r="107" spans="1:14">
      <c r="A107" s="9" t="s">
        <v>209</v>
      </c>
      <c r="B107" s="10" t="s">
        <v>70</v>
      </c>
      <c r="C107" s="34">
        <v>6.0100000000000001E-2</v>
      </c>
      <c r="D107" s="19">
        <f>C107</f>
        <v>6.0100000000000001E-2</v>
      </c>
      <c r="E107" s="19">
        <f>C107</f>
        <v>6.0100000000000001E-2</v>
      </c>
      <c r="F107" s="19">
        <f>C107</f>
        <v>6.0100000000000001E-2</v>
      </c>
      <c r="G107" s="19">
        <f>C107</f>
        <v>6.0100000000000001E-2</v>
      </c>
      <c r="H107" s="19">
        <f>C107</f>
        <v>6.0100000000000001E-2</v>
      </c>
      <c r="I107" s="19">
        <f>C107</f>
        <v>6.0100000000000001E-2</v>
      </c>
      <c r="J107" s="19">
        <f>C107</f>
        <v>6.0100000000000001E-2</v>
      </c>
      <c r="K107" s="19">
        <f>C107</f>
        <v>6.0100000000000001E-2</v>
      </c>
      <c r="L107" s="19">
        <f>C107</f>
        <v>6.0100000000000001E-2</v>
      </c>
      <c r="N107" s="14" t="s">
        <v>210</v>
      </c>
    </row>
    <row r="108" spans="1:14">
      <c r="A108" s="9" t="s">
        <v>211</v>
      </c>
      <c r="B108" s="10" t="s">
        <v>70</v>
      </c>
      <c r="C108" s="34">
        <v>1.55E-2</v>
      </c>
      <c r="D108" s="19">
        <f>C108</f>
        <v>1.55E-2</v>
      </c>
      <c r="E108" s="19">
        <f>C108</f>
        <v>1.55E-2</v>
      </c>
      <c r="F108" s="19">
        <f>C108</f>
        <v>1.55E-2</v>
      </c>
      <c r="G108" s="19">
        <f>C108</f>
        <v>1.55E-2</v>
      </c>
      <c r="H108" s="19">
        <f>C108</f>
        <v>1.55E-2</v>
      </c>
      <c r="I108" s="19">
        <f>C108</f>
        <v>1.55E-2</v>
      </c>
      <c r="J108" s="19">
        <f>C108</f>
        <v>1.55E-2</v>
      </c>
      <c r="K108" s="19">
        <f>C108</f>
        <v>1.55E-2</v>
      </c>
      <c r="L108" s="19">
        <f>C108</f>
        <v>1.55E-2</v>
      </c>
      <c r="N108" s="14" t="s">
        <v>212</v>
      </c>
    </row>
    <row r="109" spans="1:14">
      <c r="A109" s="9" t="s">
        <v>213</v>
      </c>
      <c r="B109" s="10" t="s">
        <v>70</v>
      </c>
      <c r="C109" s="12">
        <v>0.1744</v>
      </c>
      <c r="D109" s="19">
        <f>C109</f>
        <v>0.1744</v>
      </c>
      <c r="E109" s="19">
        <f>C109</f>
        <v>0.1744</v>
      </c>
      <c r="F109" s="19">
        <f>C109</f>
        <v>0.1744</v>
      </c>
      <c r="G109" s="19">
        <f>C109</f>
        <v>0.1744</v>
      </c>
      <c r="H109" s="19">
        <f>C109</f>
        <v>0.1744</v>
      </c>
      <c r="I109" s="19">
        <f>C109</f>
        <v>0.1744</v>
      </c>
      <c r="J109" s="19">
        <f>C109</f>
        <v>0.1744</v>
      </c>
      <c r="K109" s="19">
        <f>C109</f>
        <v>0.1744</v>
      </c>
      <c r="L109" s="19">
        <f>C109</f>
        <v>0.1744</v>
      </c>
      <c r="N109" s="14" t="s">
        <v>214</v>
      </c>
    </row>
    <row r="110" spans="1:14">
      <c r="A110" s="36" t="s">
        <v>215</v>
      </c>
      <c r="B110" s="37" t="s">
        <v>70</v>
      </c>
      <c r="C110" s="38">
        <f t="shared" ref="C110:L110" si="18">C107+C108+C109</f>
        <v>0.25</v>
      </c>
      <c r="D110" s="38">
        <f t="shared" si="18"/>
        <v>0.25</v>
      </c>
      <c r="E110" s="38">
        <f t="shared" si="18"/>
        <v>0.25</v>
      </c>
      <c r="F110" s="38">
        <f t="shared" si="18"/>
        <v>0.25</v>
      </c>
      <c r="G110" s="38">
        <f t="shared" si="18"/>
        <v>0.25</v>
      </c>
      <c r="H110" s="38">
        <f t="shared" si="18"/>
        <v>0.25</v>
      </c>
      <c r="I110" s="38">
        <f t="shared" si="18"/>
        <v>0.25</v>
      </c>
      <c r="J110" s="38">
        <f t="shared" si="18"/>
        <v>0.25</v>
      </c>
      <c r="K110" s="38">
        <f t="shared" si="18"/>
        <v>0.25</v>
      </c>
      <c r="L110" s="38">
        <f t="shared" si="18"/>
        <v>0.25</v>
      </c>
      <c r="N110" s="14" t="s">
        <v>216</v>
      </c>
    </row>
    <row r="111" spans="1:14">
      <c r="A111" s="9" t="s">
        <v>217</v>
      </c>
      <c r="B111" s="10" t="s">
        <v>70</v>
      </c>
      <c r="C111" s="12">
        <v>0.03</v>
      </c>
      <c r="D111" s="19">
        <f>C111</f>
        <v>0.03</v>
      </c>
      <c r="E111" s="19">
        <f>C111</f>
        <v>0.03</v>
      </c>
      <c r="F111" s="19">
        <f>C111</f>
        <v>0.03</v>
      </c>
      <c r="G111" s="19">
        <f>C111</f>
        <v>0.03</v>
      </c>
      <c r="H111" s="19">
        <f>C111</f>
        <v>0.03</v>
      </c>
      <c r="I111" s="19">
        <f>C111</f>
        <v>0.03</v>
      </c>
      <c r="J111" s="19">
        <f>C111</f>
        <v>0.03</v>
      </c>
      <c r="K111" s="19">
        <f>C111</f>
        <v>0.03</v>
      </c>
      <c r="L111" s="19">
        <f>C111</f>
        <v>0.03</v>
      </c>
    </row>
    <row r="112" spans="1:14">
      <c r="A112" s="9" t="s">
        <v>218</v>
      </c>
      <c r="B112" s="10" t="s">
        <v>117</v>
      </c>
      <c r="C112" s="17">
        <v>6.5</v>
      </c>
      <c r="D112" s="27">
        <f>C112</f>
        <v>6.5</v>
      </c>
      <c r="E112" s="27">
        <f>C112</f>
        <v>6.5</v>
      </c>
      <c r="F112" s="27">
        <f>C112</f>
        <v>6.5</v>
      </c>
      <c r="G112" s="27">
        <f>C112</f>
        <v>6.5</v>
      </c>
      <c r="H112" s="27">
        <f>C112</f>
        <v>6.5</v>
      </c>
      <c r="I112" s="27">
        <f>C112</f>
        <v>6.5</v>
      </c>
      <c r="J112" s="27">
        <f>C112</f>
        <v>6.5</v>
      </c>
      <c r="K112" s="27">
        <f>C112</f>
        <v>6.5</v>
      </c>
      <c r="L112" s="27">
        <f>C112</f>
        <v>6.5</v>
      </c>
      <c r="N112" s="14" t="s">
        <v>219</v>
      </c>
    </row>
    <row r="113" spans="1:14">
      <c r="A113" s="9" t="s">
        <v>220</v>
      </c>
      <c r="B113" s="10" t="s">
        <v>70</v>
      </c>
      <c r="C113" s="34">
        <v>3.2000000000000001E-2</v>
      </c>
      <c r="D113" s="19">
        <f>C113</f>
        <v>3.2000000000000001E-2</v>
      </c>
      <c r="E113" s="19">
        <f>C113</f>
        <v>3.2000000000000001E-2</v>
      </c>
      <c r="F113" s="19">
        <f>C113</f>
        <v>3.2000000000000001E-2</v>
      </c>
      <c r="G113" s="19">
        <f>C113</f>
        <v>3.2000000000000001E-2</v>
      </c>
      <c r="H113" s="19">
        <f>C113</f>
        <v>3.2000000000000001E-2</v>
      </c>
      <c r="I113" s="19">
        <f>C113</f>
        <v>3.2000000000000001E-2</v>
      </c>
      <c r="J113" s="19">
        <f>C113</f>
        <v>3.2000000000000001E-2</v>
      </c>
      <c r="K113" s="19">
        <f>C113</f>
        <v>3.2000000000000001E-2</v>
      </c>
      <c r="L113" s="19">
        <f>C113</f>
        <v>3.2000000000000001E-2</v>
      </c>
      <c r="N113" s="14" t="s">
        <v>221</v>
      </c>
    </row>
    <row r="114" spans="1:14">
      <c r="A114" s="9" t="s">
        <v>222</v>
      </c>
      <c r="B114" s="10" t="s">
        <v>70</v>
      </c>
      <c r="C114" s="12">
        <v>7.0000000000000007E-2</v>
      </c>
      <c r="D114" s="19">
        <f>C114</f>
        <v>7.0000000000000007E-2</v>
      </c>
      <c r="E114" s="19">
        <f>C114</f>
        <v>7.0000000000000007E-2</v>
      </c>
      <c r="F114" s="19">
        <f>C114</f>
        <v>7.0000000000000007E-2</v>
      </c>
      <c r="G114" s="19">
        <f>C114</f>
        <v>7.0000000000000007E-2</v>
      </c>
      <c r="H114" s="19">
        <f>C114</f>
        <v>7.0000000000000007E-2</v>
      </c>
      <c r="I114" s="19">
        <f>C114</f>
        <v>7.0000000000000007E-2</v>
      </c>
      <c r="J114" s="19">
        <f>C114</f>
        <v>7.0000000000000007E-2</v>
      </c>
      <c r="K114" s="19">
        <f>C114</f>
        <v>7.0000000000000007E-2</v>
      </c>
      <c r="L114" s="19">
        <f>C114</f>
        <v>7.0000000000000007E-2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6"/>
  <sheetViews>
    <sheetView workbookViewId="0">
      <pane xSplit="2" ySplit="2" topLeftCell="C3" activePane="bottomRight" state="frozen"/>
      <selection pane="bottomRight"/>
      <selection pane="bottomLeft"/>
      <selection pane="topRight"/>
    </sheetView>
  </sheetViews>
  <sheetFormatPr defaultRowHeight="14.45"/>
  <cols>
    <col min="1" max="1" width="44" customWidth="1"/>
    <col min="2" max="2" width="15" customWidth="1"/>
    <col min="3" max="12" width="13" customWidth="1"/>
  </cols>
  <sheetData>
    <row r="1" spans="1:12" ht="17.100000000000001">
      <c r="A1" s="1" t="s">
        <v>223</v>
      </c>
    </row>
    <row r="2" spans="1:12">
      <c r="A2" s="5" t="s">
        <v>54</v>
      </c>
      <c r="B2" s="5" t="s">
        <v>55</v>
      </c>
      <c r="C2" s="6" t="s">
        <v>56</v>
      </c>
      <c r="D2" s="6" t="s">
        <v>57</v>
      </c>
      <c r="E2" s="6" t="s">
        <v>58</v>
      </c>
      <c r="F2" s="6" t="s">
        <v>59</v>
      </c>
      <c r="G2" s="6" t="s">
        <v>60</v>
      </c>
      <c r="H2" s="6" t="s">
        <v>61</v>
      </c>
      <c r="I2" s="6" t="s">
        <v>62</v>
      </c>
      <c r="J2" s="6" t="s">
        <v>63</v>
      </c>
      <c r="K2" s="6" t="s">
        <v>64</v>
      </c>
      <c r="L2" s="6" t="s">
        <v>65</v>
      </c>
    </row>
    <row r="4" spans="1:12">
      <c r="A4" s="7" t="s">
        <v>224</v>
      </c>
      <c r="B4" s="8"/>
      <c r="C4" s="8"/>
      <c r="D4" s="8"/>
      <c r="E4" s="8"/>
      <c r="F4" s="8"/>
      <c r="G4" s="8"/>
      <c r="H4" s="8"/>
      <c r="I4" s="8"/>
      <c r="J4" s="8"/>
      <c r="K4" s="8"/>
      <c r="L4" s="8"/>
    </row>
    <row r="5" spans="1:12">
      <c r="A5" s="9" t="s">
        <v>225</v>
      </c>
      <c r="B5" s="10"/>
      <c r="C5" s="13">
        <f>Assumptions!C5</f>
        <v>250</v>
      </c>
      <c r="D5" s="13">
        <f>Assumptions!D5</f>
        <v>750</v>
      </c>
      <c r="E5" s="13">
        <f>Assumptions!E5</f>
        <v>1700</v>
      </c>
      <c r="F5" s="13">
        <f>Assumptions!F5</f>
        <v>2800</v>
      </c>
      <c r="G5" s="13">
        <f>Assumptions!G5</f>
        <v>4000</v>
      </c>
      <c r="H5" s="13">
        <f>Assumptions!H5</f>
        <v>5200</v>
      </c>
      <c r="I5" s="13">
        <f>Assumptions!I5</f>
        <v>6300</v>
      </c>
      <c r="J5" s="13">
        <f>Assumptions!J5</f>
        <v>7200</v>
      </c>
      <c r="K5" s="13">
        <f>Assumptions!K5</f>
        <v>7900</v>
      </c>
      <c r="L5" s="13">
        <f>Assumptions!L5</f>
        <v>8500</v>
      </c>
    </row>
    <row r="6" spans="1:12">
      <c r="A6" s="9" t="s">
        <v>226</v>
      </c>
      <c r="B6" s="10"/>
      <c r="C6" s="13">
        <f>Drivers!C5*Assumptions!C6</f>
        <v>237.5</v>
      </c>
      <c r="D6" s="13">
        <f>Drivers!D5*Assumptions!D6</f>
        <v>690</v>
      </c>
      <c r="E6" s="13">
        <f>Drivers!E5*Assumptions!E6</f>
        <v>1360</v>
      </c>
      <c r="F6" s="13">
        <f>Drivers!F5*Assumptions!F6</f>
        <v>1904.0000000000002</v>
      </c>
      <c r="G6" s="13">
        <f>Drivers!G5*Assumptions!G6</f>
        <v>2320</v>
      </c>
      <c r="H6" s="13">
        <f>Drivers!H5*Assumptions!H6</f>
        <v>2600</v>
      </c>
      <c r="I6" s="13">
        <f>Drivers!I5*Assumptions!I6</f>
        <v>2835</v>
      </c>
      <c r="J6" s="13">
        <f>Drivers!J5*Assumptions!J6</f>
        <v>3096</v>
      </c>
      <c r="K6" s="13">
        <f>Drivers!K5*Assumptions!K6</f>
        <v>3318</v>
      </c>
      <c r="L6" s="13">
        <f>Drivers!L5*Assumptions!L6</f>
        <v>3485</v>
      </c>
    </row>
    <row r="7" spans="1:12">
      <c r="A7" s="9" t="s">
        <v>227</v>
      </c>
      <c r="B7" s="10"/>
      <c r="C7" s="13">
        <f>Drivers!C5-Drivers!C6</f>
        <v>12.5</v>
      </c>
      <c r="D7" s="13">
        <f>Drivers!D5-Drivers!D6</f>
        <v>60</v>
      </c>
      <c r="E7" s="13">
        <f>Drivers!E5-Drivers!E6</f>
        <v>340</v>
      </c>
      <c r="F7" s="13">
        <f>Drivers!F5-Drivers!F6</f>
        <v>895.99999999999977</v>
      </c>
      <c r="G7" s="13">
        <f>Drivers!G5-Drivers!G6</f>
        <v>1680</v>
      </c>
      <c r="H7" s="13">
        <f>Drivers!H5-Drivers!H6</f>
        <v>2600</v>
      </c>
      <c r="I7" s="13">
        <f>Drivers!I5-Drivers!I6</f>
        <v>3465</v>
      </c>
      <c r="J7" s="13">
        <f>Drivers!J5-Drivers!J6</f>
        <v>4104</v>
      </c>
      <c r="K7" s="13">
        <f>Drivers!K5-Drivers!K6</f>
        <v>4582</v>
      </c>
      <c r="L7" s="13">
        <f>Drivers!L5-Drivers!L6</f>
        <v>5015</v>
      </c>
    </row>
    <row r="9" spans="1:12">
      <c r="A9" s="7" t="s">
        <v>228</v>
      </c>
      <c r="B9" s="8"/>
      <c r="C9" s="8"/>
      <c r="D9" s="8"/>
      <c r="E9" s="8"/>
      <c r="F9" s="8"/>
      <c r="G9" s="8"/>
      <c r="H9" s="8"/>
      <c r="I9" s="8"/>
      <c r="J9" s="8"/>
      <c r="K9" s="8"/>
      <c r="L9" s="8"/>
    </row>
    <row r="10" spans="1:12">
      <c r="A10" s="9" t="s">
        <v>229</v>
      </c>
      <c r="B10" s="10"/>
      <c r="C10" s="13">
        <f>IF(1=1,0,C6*Assumptions!C14)</f>
        <v>0</v>
      </c>
      <c r="D10" s="13">
        <f>IF(2=1,0,C6*Assumptions!D14)</f>
        <v>64.125</v>
      </c>
      <c r="E10" s="13">
        <f>IF(3=1,0,D6*Assumptions!E14)</f>
        <v>165.6</v>
      </c>
      <c r="F10" s="13">
        <f>IF(4=1,0,E6*Assumptions!F14)</f>
        <v>299.2</v>
      </c>
      <c r="G10" s="13">
        <f>IF(5=1,0,F6*Assumptions!G14)</f>
        <v>380.80000000000007</v>
      </c>
      <c r="H10" s="13">
        <f>IF(6=1,0,G6*Assumptions!H14)</f>
        <v>440.8</v>
      </c>
      <c r="I10" s="13">
        <f>IF(7=1,0,H6*Assumptions!I14)</f>
        <v>468</v>
      </c>
      <c r="J10" s="13">
        <f>IF(8=1,0,I6*Assumptions!J14)</f>
        <v>481.95000000000005</v>
      </c>
      <c r="K10" s="13">
        <f>IF(9=1,0,J6*Assumptions!K14)</f>
        <v>495.36</v>
      </c>
      <c r="L10" s="13">
        <f>IF(10=1,0,K6*Assumptions!L14)</f>
        <v>530.88</v>
      </c>
    </row>
    <row r="11" spans="1:12">
      <c r="A11" s="9" t="s">
        <v>230</v>
      </c>
      <c r="B11" s="10"/>
      <c r="C11" s="39">
        <f>MAX(0,C6-IF(1=1,0,C6)+C10)</f>
        <v>237.5</v>
      </c>
      <c r="D11" s="39">
        <f>MAX(0,D6-IF(2=1,0,C6)+D10)</f>
        <v>516.625</v>
      </c>
      <c r="E11" s="39">
        <f>MAX(0,E6-IF(3=1,0,D6)+E10)</f>
        <v>835.6</v>
      </c>
      <c r="F11" s="39">
        <f>MAX(0,F6-IF(4=1,0,E6)+F10)</f>
        <v>843.20000000000027</v>
      </c>
      <c r="G11" s="39">
        <f>MAX(0,G6-IF(5=1,0,F6)+G10)</f>
        <v>796.79999999999984</v>
      </c>
      <c r="H11" s="39">
        <f>MAX(0,H6-IF(6=1,0,G6)+H10)</f>
        <v>720.8</v>
      </c>
      <c r="I11" s="39">
        <f>MAX(0,I6-IF(7=1,0,H6)+I10)</f>
        <v>703</v>
      </c>
      <c r="J11" s="39">
        <f>MAX(0,J6-IF(8=1,0,I6)+J10)</f>
        <v>742.95</v>
      </c>
      <c r="K11" s="39">
        <f>MAX(0,K6-IF(9=1,0,J6)+K10)</f>
        <v>717.36</v>
      </c>
      <c r="L11" s="39">
        <f>MAX(0,L6-IF(10=1,0,K6)+L10)</f>
        <v>697.88</v>
      </c>
    </row>
    <row r="12" spans="1:12">
      <c r="A12" s="9" t="s">
        <v>231</v>
      </c>
      <c r="B12" s="10"/>
      <c r="C12" s="13">
        <f>C6*Assumptions!C10</f>
        <v>0</v>
      </c>
      <c r="D12" s="13">
        <f>D6*Assumptions!D10</f>
        <v>220.8</v>
      </c>
      <c r="E12" s="13">
        <f>E6*Assumptions!E10</f>
        <v>503.2</v>
      </c>
      <c r="F12" s="13">
        <f>F6*Assumptions!F10</f>
        <v>780.6400000000001</v>
      </c>
      <c r="G12" s="13">
        <f>G6*Assumptions!G10</f>
        <v>1020.8</v>
      </c>
      <c r="H12" s="13">
        <f>H6*Assumptions!H10</f>
        <v>1196</v>
      </c>
      <c r="I12" s="13">
        <f>I6*Assumptions!I10</f>
        <v>1360.8</v>
      </c>
      <c r="J12" s="13">
        <f>J6*Assumptions!J10</f>
        <v>1517.04</v>
      </c>
      <c r="K12" s="13">
        <f>K6*Assumptions!K10</f>
        <v>1659</v>
      </c>
      <c r="L12" s="13">
        <f>L6*Assumptions!L10</f>
        <v>1742.5</v>
      </c>
    </row>
    <row r="13" spans="1:12">
      <c r="A13" s="9" t="s">
        <v>232</v>
      </c>
      <c r="B13" s="10"/>
      <c r="C13" s="13">
        <f>C12*Assumptions!C11</f>
        <v>0</v>
      </c>
      <c r="D13" s="13">
        <f>D12*Assumptions!D11</f>
        <v>4857.6000000000004</v>
      </c>
      <c r="E13" s="13">
        <f>E12*Assumptions!E11</f>
        <v>12580</v>
      </c>
      <c r="F13" s="13">
        <f>F12*Assumptions!F11</f>
        <v>21857.920000000002</v>
      </c>
      <c r="G13" s="13">
        <f>G12*Assumptions!G11</f>
        <v>30624</v>
      </c>
      <c r="H13" s="13">
        <f>H12*Assumptions!H11</f>
        <v>38272</v>
      </c>
      <c r="I13" s="13">
        <f>I12*Assumptions!I11</f>
        <v>46267.199999999997</v>
      </c>
      <c r="J13" s="13">
        <f>J12*Assumptions!J11</f>
        <v>53096.4</v>
      </c>
      <c r="K13" s="13">
        <f>K12*Assumptions!K11</f>
        <v>59724</v>
      </c>
      <c r="L13" s="13">
        <f>L12*Assumptions!L11</f>
        <v>64472.5</v>
      </c>
    </row>
    <row r="14" spans="1:12">
      <c r="A14" s="9" t="s">
        <v>233</v>
      </c>
      <c r="B14" s="10" t="s">
        <v>234</v>
      </c>
      <c r="C14" s="40">
        <f>1-Assumptions!C13</f>
        <v>0.91</v>
      </c>
      <c r="D14" s="40">
        <f>1-Assumptions!D13</f>
        <v>0.91500000000000004</v>
      </c>
      <c r="E14" s="40">
        <f>1-Assumptions!E13</f>
        <v>0.92</v>
      </c>
      <c r="F14" s="40">
        <f>1-Assumptions!F13</f>
        <v>0.92500000000000004</v>
      </c>
      <c r="G14" s="40">
        <f>1-Assumptions!G13</f>
        <v>0.92999999999999994</v>
      </c>
      <c r="H14" s="40">
        <f>1-Assumptions!H13</f>
        <v>0.93500000000000005</v>
      </c>
      <c r="I14" s="40">
        <f>1-Assumptions!I13</f>
        <v>0.94</v>
      </c>
      <c r="J14" s="40">
        <f>1-Assumptions!J13</f>
        <v>0.94199999999999995</v>
      </c>
      <c r="K14" s="40">
        <f>1-Assumptions!K13</f>
        <v>0.94399999999999995</v>
      </c>
      <c r="L14" s="40">
        <f>1-Assumptions!L13</f>
        <v>0.94499999999999995</v>
      </c>
    </row>
    <row r="15" spans="1:12">
      <c r="A15" s="9" t="s">
        <v>235</v>
      </c>
      <c r="B15" s="10" t="s">
        <v>236</v>
      </c>
      <c r="C15" s="39">
        <f>0</f>
        <v>0</v>
      </c>
      <c r="D15" s="39">
        <f t="shared" ref="D15:L15" si="0">C17*D14^12</f>
        <v>0</v>
      </c>
      <c r="E15" s="39">
        <f t="shared" si="0"/>
        <v>1721.9120715076624</v>
      </c>
      <c r="F15" s="39">
        <f t="shared" si="0"/>
        <v>4936.0714097897817</v>
      </c>
      <c r="G15" s="39">
        <f t="shared" si="0"/>
        <v>9149.6443826002815</v>
      </c>
      <c r="H15" s="39">
        <f t="shared" si="0"/>
        <v>13671.030322301905</v>
      </c>
      <c r="I15" s="39">
        <f t="shared" si="0"/>
        <v>18214.422288571099</v>
      </c>
      <c r="J15" s="39">
        <f t="shared" si="0"/>
        <v>22588.326219060222</v>
      </c>
      <c r="K15" s="39">
        <f t="shared" si="0"/>
        <v>26590.653325519022</v>
      </c>
      <c r="L15" s="39">
        <f t="shared" si="0"/>
        <v>30292.18419264449</v>
      </c>
    </row>
    <row r="16" spans="1:12">
      <c r="A16" s="9" t="s">
        <v>237</v>
      </c>
      <c r="B16" s="10" t="s">
        <v>238</v>
      </c>
      <c r="C16" s="13">
        <f>MIN(MAX(0,(C13-C15)/((1-C14^12)/(1-C14))),C12*Assumptions!C15/12)</f>
        <v>0</v>
      </c>
      <c r="D16" s="13">
        <f>MIN(MAX(0,(D13-D15)/((1-D14^12)/(1-D14))),D12*Assumptions!D15/12)</f>
        <v>607.20000000000005</v>
      </c>
      <c r="E16" s="13">
        <f>MIN(MAX(0,(E13-E15)/((1-E14^12)/(1-E14))),E12*Assumptions!E15/12)</f>
        <v>1373.7163695250365</v>
      </c>
      <c r="F16" s="13">
        <f>MIN(MAX(0,(F13-F15)/((1-F14^12)/(1-F14))),F12*Assumptions!F15/12)</f>
        <v>2088.6856747080433</v>
      </c>
      <c r="G16" s="13">
        <f>MIN(MAX(0,(G13-G15)/((1-G14^12)/(1-G14))),G12*Assumptions!G15/12)</f>
        <v>2585.4752673589041</v>
      </c>
      <c r="H16" s="13">
        <f>MIN(MAX(0,(H13-H15)/((1-H14^12)/(1-H14))),H12*Assumptions!H15/12)</f>
        <v>2888.562129976503</v>
      </c>
      <c r="I16" s="13">
        <f>MIN(MAX(0,(I13-I15)/((1-I14^12)/(1-I14))),I12*Assumptions!I15/12)</f>
        <v>3211.6617191318519</v>
      </c>
      <c r="J16" s="13">
        <f>MIN(MAX(0,(J13-J15)/((1-J14^12)/(1-J14))),J12*Assumptions!J15/12)</f>
        <v>3457.4424243806102</v>
      </c>
      <c r="K16" s="13">
        <f>MIN(MAX(0,(K13-K15)/((1-K14^12)/(1-K14))),K12*Assumptions!K15/12)</f>
        <v>3716.8785018004519</v>
      </c>
      <c r="L16" s="13">
        <f>MIN(MAX(0,(L13-L15)/((1-L14^12)/(1-L14))),L12*Assumptions!L15/12)</f>
        <v>3814.7896040535124</v>
      </c>
    </row>
    <row r="17" spans="1:12">
      <c r="A17" s="36" t="s">
        <v>239</v>
      </c>
      <c r="B17" s="37" t="s">
        <v>240</v>
      </c>
      <c r="C17" s="41">
        <f t="shared" ref="C17:L17" si="1">C15+C16*(1-C14^12)/(1-C14)</f>
        <v>0</v>
      </c>
      <c r="D17" s="41">
        <f t="shared" si="1"/>
        <v>4683.3546098425795</v>
      </c>
      <c r="E17" s="41">
        <f t="shared" si="1"/>
        <v>12580</v>
      </c>
      <c r="F17" s="41">
        <f t="shared" si="1"/>
        <v>21857.920000000006</v>
      </c>
      <c r="G17" s="41">
        <f t="shared" si="1"/>
        <v>30624</v>
      </c>
      <c r="H17" s="41">
        <f t="shared" si="1"/>
        <v>38271.999999999993</v>
      </c>
      <c r="I17" s="41">
        <f t="shared" si="1"/>
        <v>46267.199999999997</v>
      </c>
      <c r="J17" s="41">
        <f t="shared" si="1"/>
        <v>53096.399999999994</v>
      </c>
      <c r="K17" s="41">
        <f t="shared" si="1"/>
        <v>59724</v>
      </c>
      <c r="L17" s="41">
        <f t="shared" si="1"/>
        <v>64472.5</v>
      </c>
    </row>
    <row r="18" spans="1:12">
      <c r="A18" s="9" t="s">
        <v>241</v>
      </c>
      <c r="B18" s="10" t="s">
        <v>242</v>
      </c>
      <c r="C18" s="39">
        <f t="shared" ref="C18:L18" si="2">C16*12</f>
        <v>0</v>
      </c>
      <c r="D18" s="39">
        <f t="shared" si="2"/>
        <v>7286.4000000000005</v>
      </c>
      <c r="E18" s="39">
        <f t="shared" si="2"/>
        <v>16484.596434300438</v>
      </c>
      <c r="F18" s="39">
        <f t="shared" si="2"/>
        <v>25064.228096496518</v>
      </c>
      <c r="G18" s="39">
        <f t="shared" si="2"/>
        <v>31025.703208306848</v>
      </c>
      <c r="H18" s="39">
        <f t="shared" si="2"/>
        <v>34662.745559718038</v>
      </c>
      <c r="I18" s="39">
        <f t="shared" si="2"/>
        <v>38539.940629582226</v>
      </c>
      <c r="J18" s="39">
        <f t="shared" si="2"/>
        <v>41489.309092567324</v>
      </c>
      <c r="K18" s="39">
        <f t="shared" si="2"/>
        <v>44602.542021605419</v>
      </c>
      <c r="L18" s="39">
        <f t="shared" si="2"/>
        <v>45777.475248642149</v>
      </c>
    </row>
    <row r="19" spans="1:12">
      <c r="A19" s="9" t="s">
        <v>243</v>
      </c>
      <c r="B19" s="10" t="s">
        <v>244</v>
      </c>
      <c r="C19" s="42">
        <f t="shared" ref="C19:L19" si="3">C14*(1-C14^12)/(1-C14)</f>
        <v>6.8505256272624422</v>
      </c>
      <c r="D19" s="42">
        <f t="shared" si="3"/>
        <v>7.0574266600888667</v>
      </c>
      <c r="E19" s="42">
        <f t="shared" si="3"/>
        <v>7.2718365419688551</v>
      </c>
      <c r="F19" s="42">
        <f t="shared" si="3"/>
        <v>7.494047637461005</v>
      </c>
      <c r="G19" s="42">
        <f t="shared" si="3"/>
        <v>7.7243634763455011</v>
      </c>
      <c r="H19" s="42">
        <f t="shared" si="3"/>
        <v>7.9630991523228296</v>
      </c>
      <c r="I19" s="42">
        <f t="shared" si="3"/>
        <v>8.2105817345766905</v>
      </c>
      <c r="J19" s="42">
        <f t="shared" si="3"/>
        <v>8.3120995158129638</v>
      </c>
      <c r="K19" s="42">
        <f t="shared" si="3"/>
        <v>8.415093268601348</v>
      </c>
      <c r="L19" s="42">
        <f t="shared" si="3"/>
        <v>8.4671506925648679</v>
      </c>
    </row>
    <row r="20" spans="1:12">
      <c r="A20" s="36" t="s">
        <v>245</v>
      </c>
      <c r="B20" s="37" t="s">
        <v>246</v>
      </c>
      <c r="C20" s="41">
        <f>(C16/(1-C14)*(12-C19))/12</f>
        <v>0</v>
      </c>
      <c r="D20" s="41">
        <f t="shared" ref="D20:L20" si="4">(C17*D19+D16/(1-D14)*(12-D19))/12</f>
        <v>2942.2848352882761</v>
      </c>
      <c r="E20" s="41">
        <f t="shared" si="4"/>
        <v>9603.8361201620992</v>
      </c>
      <c r="F20" s="41">
        <f t="shared" si="4"/>
        <v>18313.502329440584</v>
      </c>
      <c r="G20" s="41">
        <f t="shared" si="4"/>
        <v>27230.058105127184</v>
      </c>
      <c r="H20" s="41">
        <f t="shared" si="4"/>
        <v>35271.622512459049</v>
      </c>
      <c r="I20" s="41">
        <f t="shared" si="4"/>
        <v>43089.517541086389</v>
      </c>
      <c r="J20" s="41">
        <f t="shared" si="4"/>
        <v>50368.10731690703</v>
      </c>
      <c r="K20" s="41">
        <f t="shared" si="4"/>
        <v>57062.630389293721</v>
      </c>
      <c r="L20" s="41">
        <f t="shared" si="4"/>
        <v>62560.822346427442</v>
      </c>
    </row>
    <row r="21" spans="1:12">
      <c r="A21" s="9" t="s">
        <v>247</v>
      </c>
      <c r="B21" s="10" t="s">
        <v>248</v>
      </c>
      <c r="C21" s="39">
        <f>C18-C17</f>
        <v>0</v>
      </c>
      <c r="D21" s="39">
        <f t="shared" ref="D21:L21" si="5">C17+D18-D17</f>
        <v>2603.045390157421</v>
      </c>
      <c r="E21" s="39">
        <f t="shared" si="5"/>
        <v>8587.9510441430175</v>
      </c>
      <c r="F21" s="39">
        <f t="shared" si="5"/>
        <v>15786.308096496512</v>
      </c>
      <c r="G21" s="39">
        <f t="shared" si="5"/>
        <v>22259.623208306853</v>
      </c>
      <c r="H21" s="39">
        <f t="shared" si="5"/>
        <v>27014.745559718045</v>
      </c>
      <c r="I21" s="39">
        <f t="shared" si="5"/>
        <v>30544.740629582215</v>
      </c>
      <c r="J21" s="39">
        <f t="shared" si="5"/>
        <v>34660.10909256732</v>
      </c>
      <c r="K21" s="39">
        <f t="shared" si="5"/>
        <v>37974.942021605413</v>
      </c>
      <c r="L21" s="39">
        <f t="shared" si="5"/>
        <v>41028.975248642149</v>
      </c>
    </row>
    <row r="23" spans="1:12">
      <c r="A23" s="7" t="s">
        <v>249</v>
      </c>
      <c r="B23" s="8"/>
      <c r="C23" s="8"/>
      <c r="D23" s="8"/>
      <c r="E23" s="8"/>
      <c r="F23" s="8"/>
      <c r="G23" s="8"/>
      <c r="H23" s="8"/>
      <c r="I23" s="8"/>
      <c r="J23" s="8"/>
      <c r="K23" s="8"/>
      <c r="L23" s="8"/>
    </row>
    <row r="24" spans="1:12">
      <c r="A24" s="9" t="s">
        <v>250</v>
      </c>
      <c r="B24" s="10"/>
      <c r="C24" s="13">
        <f>IF(1=1,0,C7*Assumptions!C26)</f>
        <v>0</v>
      </c>
      <c r="D24" s="13">
        <f>IF(2=1,0,C7*Assumptions!D26)</f>
        <v>4</v>
      </c>
      <c r="E24" s="13">
        <f>IF(3=1,0,D7*Assumptions!E26)</f>
        <v>18</v>
      </c>
      <c r="F24" s="13">
        <f>IF(4=1,0,E7*Assumptions!F26)</f>
        <v>91.800000000000011</v>
      </c>
      <c r="G24" s="13">
        <f>IF(5=1,0,F7*Assumptions!G26)</f>
        <v>223.99999999999994</v>
      </c>
      <c r="H24" s="13">
        <f>IF(6=1,0,G7*Assumptions!H26)</f>
        <v>386.40000000000003</v>
      </c>
      <c r="I24" s="13">
        <f>IF(7=1,0,H7*Assumptions!I26)</f>
        <v>572</v>
      </c>
      <c r="J24" s="13">
        <f>IF(8=1,0,I7*Assumptions!J26)</f>
        <v>727.65</v>
      </c>
      <c r="K24" s="13">
        <f>IF(9=1,0,J7*Assumptions!K26)</f>
        <v>861.83999999999992</v>
      </c>
      <c r="L24" s="13">
        <f>IF(10=1,0,K7*Assumptions!L26)</f>
        <v>916.40000000000009</v>
      </c>
    </row>
    <row r="25" spans="1:12">
      <c r="A25" s="9" t="s">
        <v>251</v>
      </c>
      <c r="B25" s="10"/>
      <c r="C25" s="39">
        <f>MAX(0,C7-IF(1=1,0,C7)+C24)</f>
        <v>12.5</v>
      </c>
      <c r="D25" s="39">
        <f>MAX(0,D7-IF(2=1,0,C7)+D24)</f>
        <v>51.5</v>
      </c>
      <c r="E25" s="39">
        <f>MAX(0,E7-IF(3=1,0,D7)+E24)</f>
        <v>298</v>
      </c>
      <c r="F25" s="39">
        <f>MAX(0,F7-IF(4=1,0,E7)+F24)</f>
        <v>647.79999999999973</v>
      </c>
      <c r="G25" s="39">
        <f>MAX(0,G7-IF(5=1,0,F7)+G24)</f>
        <v>1008.0000000000002</v>
      </c>
      <c r="H25" s="39">
        <f>MAX(0,H7-IF(6=1,0,G7)+H24)</f>
        <v>1306.4000000000001</v>
      </c>
      <c r="I25" s="39">
        <f>MAX(0,I7-IF(7=1,0,H7)+I24)</f>
        <v>1437</v>
      </c>
      <c r="J25" s="39">
        <f>MAX(0,J7-IF(8=1,0,I7)+J24)</f>
        <v>1366.65</v>
      </c>
      <c r="K25" s="39">
        <f>MAX(0,K7-IF(9=1,0,J7)+K24)</f>
        <v>1339.84</v>
      </c>
      <c r="L25" s="39">
        <f>MAX(0,L7-IF(10=1,0,K7)+L24)</f>
        <v>1349.4</v>
      </c>
    </row>
    <row r="26" spans="1:12">
      <c r="A26" s="9" t="s">
        <v>252</v>
      </c>
      <c r="B26" s="10"/>
      <c r="C26" s="13">
        <f>C7*Assumptions!C22</f>
        <v>0</v>
      </c>
      <c r="D26" s="13">
        <f>D7*Assumptions!D22</f>
        <v>10.200000000000001</v>
      </c>
      <c r="E26" s="13">
        <f>E7*Assumptions!E22</f>
        <v>68</v>
      </c>
      <c r="F26" s="13">
        <f>F7*Assumptions!F22</f>
        <v>206.07999999999996</v>
      </c>
      <c r="G26" s="13">
        <f>G7*Assumptions!G22</f>
        <v>436.8</v>
      </c>
      <c r="H26" s="13">
        <f>H7*Assumptions!H22</f>
        <v>728.00000000000011</v>
      </c>
      <c r="I26" s="13">
        <f>I7*Assumptions!I22</f>
        <v>1039.5</v>
      </c>
      <c r="J26" s="13">
        <f>J7*Assumptions!J22</f>
        <v>1272.24</v>
      </c>
      <c r="K26" s="13">
        <f>K7*Assumptions!K22</f>
        <v>1466.24</v>
      </c>
      <c r="L26" s="13">
        <f>L7*Assumptions!L22</f>
        <v>1604.8</v>
      </c>
    </row>
    <row r="27" spans="1:12">
      <c r="A27" s="9" t="s">
        <v>253</v>
      </c>
      <c r="B27" s="10"/>
      <c r="C27" s="13">
        <f>C26*Assumptions!C23</f>
        <v>0</v>
      </c>
      <c r="D27" s="13">
        <f>D26*Assumptions!D23</f>
        <v>295.8</v>
      </c>
      <c r="E27" s="13">
        <f>E26*Assumptions!E23</f>
        <v>2176</v>
      </c>
      <c r="F27" s="13">
        <f>F26*Assumptions!F23</f>
        <v>7212.7999999999984</v>
      </c>
      <c r="G27" s="13">
        <f>G26*Assumptions!G23</f>
        <v>16598.400000000001</v>
      </c>
      <c r="H27" s="13">
        <f>H26*Assumptions!H23</f>
        <v>29848.000000000004</v>
      </c>
      <c r="I27" s="13">
        <f>I26*Assumptions!I23</f>
        <v>45738</v>
      </c>
      <c r="J27" s="13">
        <f>J26*Assumptions!J23</f>
        <v>58523.040000000001</v>
      </c>
      <c r="K27" s="13">
        <f>K26*Assumptions!K23</f>
        <v>68913.279999999999</v>
      </c>
      <c r="L27" s="13">
        <f>L26*Assumptions!L23</f>
        <v>77030.399999999994</v>
      </c>
    </row>
    <row r="28" spans="1:12">
      <c r="A28" s="9" t="s">
        <v>254</v>
      </c>
      <c r="B28" s="10" t="s">
        <v>234</v>
      </c>
      <c r="C28" s="40">
        <f>1-Assumptions!C25</f>
        <v>0.87</v>
      </c>
      <c r="D28" s="40">
        <f>1-Assumptions!D25</f>
        <v>0.875</v>
      </c>
      <c r="E28" s="40">
        <f>1-Assumptions!E25</f>
        <v>0.88</v>
      </c>
      <c r="F28" s="40">
        <f>1-Assumptions!F25</f>
        <v>0.89</v>
      </c>
      <c r="G28" s="40">
        <f>1-Assumptions!G25</f>
        <v>0.89500000000000002</v>
      </c>
      <c r="H28" s="40">
        <f>1-Assumptions!H25</f>
        <v>0.9</v>
      </c>
      <c r="I28" s="40">
        <f>1-Assumptions!I25</f>
        <v>0.91</v>
      </c>
      <c r="J28" s="40">
        <f>1-Assumptions!J25</f>
        <v>0.91200000000000003</v>
      </c>
      <c r="K28" s="40">
        <f>1-Assumptions!K25</f>
        <v>0.91400000000000003</v>
      </c>
      <c r="L28" s="40">
        <f>1-Assumptions!L25</f>
        <v>0.91500000000000004</v>
      </c>
    </row>
    <row r="29" spans="1:12">
      <c r="A29" s="9" t="s">
        <v>255</v>
      </c>
      <c r="B29" s="10" t="s">
        <v>236</v>
      </c>
      <c r="C29" s="39">
        <f>0</f>
        <v>0</v>
      </c>
      <c r="D29" s="39">
        <f t="shared" ref="D29:L29" si="6">C31*D28^12</f>
        <v>0</v>
      </c>
      <c r="E29" s="39">
        <f t="shared" si="6"/>
        <v>49.1892499407993</v>
      </c>
      <c r="F29" s="39">
        <f t="shared" si="6"/>
        <v>432.95584947632938</v>
      </c>
      <c r="G29" s="39">
        <f t="shared" si="6"/>
        <v>1667.1482402359363</v>
      </c>
      <c r="H29" s="39">
        <f t="shared" si="6"/>
        <v>4361.2674048602948</v>
      </c>
      <c r="I29" s="39">
        <f t="shared" si="6"/>
        <v>9548.5572648437719</v>
      </c>
      <c r="J29" s="39">
        <f t="shared" si="6"/>
        <v>15143.115335069642</v>
      </c>
      <c r="K29" s="39">
        <f t="shared" si="6"/>
        <v>19892.127143432008</v>
      </c>
      <c r="L29" s="39">
        <f t="shared" si="6"/>
        <v>23733.186384672856</v>
      </c>
    </row>
    <row r="30" spans="1:12">
      <c r="A30" s="9" t="s">
        <v>256</v>
      </c>
      <c r="B30" s="10" t="s">
        <v>238</v>
      </c>
      <c r="C30" s="13">
        <f>MIN(MAX(0,(C27-C29)/((1-C28^12)/(1-C28))),C26*Assumptions!C27/12)</f>
        <v>0</v>
      </c>
      <c r="D30" s="13">
        <f>MIN(MAX(0,(D27-D29)/((1-D28^12)/(1-D28))),D26*Assumptions!D27/12)</f>
        <v>35.700000000000003</v>
      </c>
      <c r="E30" s="13">
        <f>MIN(MAX(0,(E27-E29)/((1-E28^12)/(1-E28))),E26*Assumptions!E27/12)</f>
        <v>260.66666666666669</v>
      </c>
      <c r="F30" s="13">
        <f>MIN(MAX(0,(F27-F29)/((1-F28^12)/(1-F28))),F26*Assumptions!F27/12)</f>
        <v>858.66666666666652</v>
      </c>
      <c r="G30" s="13">
        <f>MIN(MAX(0,(G27-G29)/((1-G28^12)/(1-G28))),G26*Assumptions!G27/12)</f>
        <v>1965.6000000000001</v>
      </c>
      <c r="H30" s="13">
        <f>MIN(MAX(0,(H27-H29)/((1-H28^12)/(1-H28))),H26*Assumptions!H27/12)</f>
        <v>3518.6666666666674</v>
      </c>
      <c r="I30" s="13">
        <f>MIN(MAX(0,(I27-I29)/((1-I28^12)/(1-I28))),I26*Assumptions!I27/12)</f>
        <v>4807.2797155789012</v>
      </c>
      <c r="J30" s="13">
        <f>MIN(MAX(0,(J27-J29)/((1-J28^12)/(1-J28))),J26*Assumptions!J27/12)</f>
        <v>5706.8941234056074</v>
      </c>
      <c r="K30" s="13">
        <f>MIN(MAX(0,(K27-K29)/((1-K28^12)/(1-K28))),K26*Assumptions!K27/12)</f>
        <v>6386.6612060284788</v>
      </c>
      <c r="L30" s="13">
        <f>MIN(MAX(0,(L27-L29)/((1-L28^12)/(1-L28))),L26*Assumptions!L27/12)</f>
        <v>6910.0187372560331</v>
      </c>
    </row>
    <row r="31" spans="1:12">
      <c r="A31" s="36" t="s">
        <v>257</v>
      </c>
      <c r="B31" s="37" t="s">
        <v>240</v>
      </c>
      <c r="C31" s="41">
        <f t="shared" ref="C31:L31" si="7">C29+C30*(1-C28^12)/(1-C28)</f>
        <v>0</v>
      </c>
      <c r="D31" s="41">
        <f t="shared" si="7"/>
        <v>228.07523682707691</v>
      </c>
      <c r="E31" s="41">
        <f t="shared" si="7"/>
        <v>1752.9257947948147</v>
      </c>
      <c r="F31" s="41">
        <f t="shared" si="7"/>
        <v>6310.9943961911304</v>
      </c>
      <c r="G31" s="41">
        <f t="shared" si="7"/>
        <v>15441.96637221649</v>
      </c>
      <c r="H31" s="41">
        <f t="shared" si="7"/>
        <v>29610.18011454885</v>
      </c>
      <c r="I31" s="41">
        <f t="shared" si="7"/>
        <v>45738</v>
      </c>
      <c r="J31" s="41">
        <f t="shared" si="7"/>
        <v>58523.040000000001</v>
      </c>
      <c r="K31" s="41">
        <f t="shared" si="7"/>
        <v>68913.279999999999</v>
      </c>
      <c r="L31" s="41">
        <f t="shared" si="7"/>
        <v>77030.399999999994</v>
      </c>
    </row>
    <row r="32" spans="1:12">
      <c r="A32" s="9" t="s">
        <v>258</v>
      </c>
      <c r="B32" s="10" t="s">
        <v>242</v>
      </c>
      <c r="C32" s="39">
        <f t="shared" ref="C32:L32" si="8">C30*12</f>
        <v>0</v>
      </c>
      <c r="D32" s="39">
        <f t="shared" si="8"/>
        <v>428.40000000000003</v>
      </c>
      <c r="E32" s="39">
        <f t="shared" si="8"/>
        <v>3128</v>
      </c>
      <c r="F32" s="39">
        <f t="shared" si="8"/>
        <v>10303.999999999998</v>
      </c>
      <c r="G32" s="39">
        <f t="shared" si="8"/>
        <v>23587.200000000001</v>
      </c>
      <c r="H32" s="39">
        <f t="shared" si="8"/>
        <v>42224.000000000007</v>
      </c>
      <c r="I32" s="39">
        <f t="shared" si="8"/>
        <v>57687.356586946815</v>
      </c>
      <c r="J32" s="39">
        <f t="shared" si="8"/>
        <v>68482.729480867289</v>
      </c>
      <c r="K32" s="39">
        <f t="shared" si="8"/>
        <v>76639.934472341745</v>
      </c>
      <c r="L32" s="39">
        <f t="shared" si="8"/>
        <v>82920.224847072401</v>
      </c>
    </row>
    <row r="33" spans="1:12">
      <c r="A33" s="9" t="s">
        <v>259</v>
      </c>
      <c r="B33" s="10" t="s">
        <v>244</v>
      </c>
      <c r="C33" s="42">
        <f t="shared" ref="C33:L33" si="9">C28*(1-C28^12)/(1-C28)</f>
        <v>5.4339418191130529</v>
      </c>
      <c r="D33" s="42">
        <f t="shared" si="9"/>
        <v>5.5900793339969823</v>
      </c>
      <c r="E33" s="42">
        <f t="shared" si="9"/>
        <v>5.7517448573076724</v>
      </c>
      <c r="F33" s="42">
        <f t="shared" si="9"/>
        <v>6.0925321893356061</v>
      </c>
      <c r="G33" s="42">
        <f t="shared" si="9"/>
        <v>6.2721114306688008</v>
      </c>
      <c r="H33" s="42">
        <f t="shared" si="9"/>
        <v>6.4581341716710012</v>
      </c>
      <c r="I33" s="42">
        <f t="shared" si="9"/>
        <v>6.8505256272624422</v>
      </c>
      <c r="J33" s="42">
        <f t="shared" si="9"/>
        <v>6.9324032370180806</v>
      </c>
      <c r="K33" s="42">
        <f t="shared" si="9"/>
        <v>7.0154549091488727</v>
      </c>
      <c r="L33" s="42">
        <f t="shared" si="9"/>
        <v>7.0574266600888667</v>
      </c>
    </row>
    <row r="34" spans="1:12">
      <c r="A34" s="36" t="s">
        <v>260</v>
      </c>
      <c r="B34" s="37" t="s">
        <v>246</v>
      </c>
      <c r="C34" s="41">
        <f>(C30/(1-C28)*(12-C33))/12</f>
        <v>0</v>
      </c>
      <c r="D34" s="41">
        <f t="shared" ref="D34:L34" si="10">(C31*D33+D30/(1-D28)*(12-D33))/12</f>
        <v>152.55611185087182</v>
      </c>
      <c r="E34" s="41">
        <f t="shared" si="10"/>
        <v>1240.3691034641606</v>
      </c>
      <c r="F34" s="41">
        <f t="shared" si="10"/>
        <v>4732.8173823918778</v>
      </c>
      <c r="G34" s="41">
        <f t="shared" si="10"/>
        <v>12234.111175759766</v>
      </c>
      <c r="H34" s="41">
        <f t="shared" si="10"/>
        <v>24560.506359917406</v>
      </c>
      <c r="I34" s="41">
        <f t="shared" si="10"/>
        <v>39825.037491839154</v>
      </c>
      <c r="J34" s="41">
        <f t="shared" si="10"/>
        <v>53809.44412960919</v>
      </c>
      <c r="K34" s="41">
        <f t="shared" si="10"/>
        <v>65061.293713509462</v>
      </c>
      <c r="L34" s="41">
        <f t="shared" si="10"/>
        <v>74012.803967718079</v>
      </c>
    </row>
    <row r="35" spans="1:12">
      <c r="A35" s="9" t="s">
        <v>261</v>
      </c>
      <c r="B35" s="10" t="s">
        <v>248</v>
      </c>
      <c r="C35" s="39">
        <f>C32-C31</f>
        <v>0</v>
      </c>
      <c r="D35" s="39">
        <f t="shared" ref="D35:L35" si="11">C31+D32-D31</f>
        <v>200.32476317292313</v>
      </c>
      <c r="E35" s="39">
        <f t="shared" si="11"/>
        <v>1603.1494420322622</v>
      </c>
      <c r="F35" s="39">
        <f t="shared" si="11"/>
        <v>5745.9313986036832</v>
      </c>
      <c r="G35" s="39">
        <f t="shared" si="11"/>
        <v>14456.228023974641</v>
      </c>
      <c r="H35" s="39">
        <f t="shared" si="11"/>
        <v>28055.786257667649</v>
      </c>
      <c r="I35" s="39">
        <f t="shared" si="11"/>
        <v>41559.536701495672</v>
      </c>
      <c r="J35" s="39">
        <f t="shared" si="11"/>
        <v>55697.689480867288</v>
      </c>
      <c r="K35" s="39">
        <f t="shared" si="11"/>
        <v>66249.69447234174</v>
      </c>
      <c r="L35" s="39">
        <f t="shared" si="11"/>
        <v>74803.10484707242</v>
      </c>
    </row>
    <row r="37" spans="1:12">
      <c r="A37" s="7" t="s">
        <v>262</v>
      </c>
      <c r="B37" s="8"/>
      <c r="C37" s="8"/>
      <c r="D37" s="8"/>
      <c r="E37" s="8"/>
      <c r="F37" s="8"/>
      <c r="G37" s="8"/>
      <c r="H37" s="8"/>
      <c r="I37" s="8"/>
      <c r="J37" s="8"/>
      <c r="K37" s="8"/>
      <c r="L37" s="8"/>
    </row>
    <row r="38" spans="1:12">
      <c r="A38" s="36" t="s">
        <v>263</v>
      </c>
      <c r="B38" s="37"/>
      <c r="C38" s="41">
        <f t="shared" ref="C38:L38" si="12">C17+C31</f>
        <v>0</v>
      </c>
      <c r="D38" s="41">
        <f t="shared" si="12"/>
        <v>4911.4298466696564</v>
      </c>
      <c r="E38" s="41">
        <f t="shared" si="12"/>
        <v>14332.925794794815</v>
      </c>
      <c r="F38" s="41">
        <f t="shared" si="12"/>
        <v>28168.914396191136</v>
      </c>
      <c r="G38" s="41">
        <f t="shared" si="12"/>
        <v>46065.966372216491</v>
      </c>
      <c r="H38" s="41">
        <f t="shared" si="12"/>
        <v>67882.180114548843</v>
      </c>
      <c r="I38" s="41">
        <f t="shared" si="12"/>
        <v>92005.2</v>
      </c>
      <c r="J38" s="41">
        <f t="shared" si="12"/>
        <v>111619.44</v>
      </c>
      <c r="K38" s="41">
        <f t="shared" si="12"/>
        <v>128637.28</v>
      </c>
      <c r="L38" s="41">
        <f t="shared" si="12"/>
        <v>141502.9</v>
      </c>
    </row>
    <row r="39" spans="1:12">
      <c r="A39" s="36" t="s">
        <v>264</v>
      </c>
      <c r="B39" s="37"/>
      <c r="C39" s="41">
        <f t="shared" ref="C39:L39" si="13">C20+C34</f>
        <v>0</v>
      </c>
      <c r="D39" s="41">
        <f t="shared" si="13"/>
        <v>3094.8409471391478</v>
      </c>
      <c r="E39" s="41">
        <f t="shared" si="13"/>
        <v>10844.205223626261</v>
      </c>
      <c r="F39" s="41">
        <f t="shared" si="13"/>
        <v>23046.319711832461</v>
      </c>
      <c r="G39" s="41">
        <f t="shared" si="13"/>
        <v>39464.169280886948</v>
      </c>
      <c r="H39" s="41">
        <f t="shared" si="13"/>
        <v>59832.128872376459</v>
      </c>
      <c r="I39" s="41">
        <f t="shared" si="13"/>
        <v>82914.555032925535</v>
      </c>
      <c r="J39" s="41">
        <f t="shared" si="13"/>
        <v>104177.55144651621</v>
      </c>
      <c r="K39" s="41">
        <f t="shared" si="13"/>
        <v>122123.92410280318</v>
      </c>
      <c r="L39" s="41">
        <f t="shared" si="13"/>
        <v>136573.62631414551</v>
      </c>
    </row>
    <row r="40" spans="1:12">
      <c r="A40" s="9" t="s">
        <v>265</v>
      </c>
      <c r="B40" s="10"/>
      <c r="C40" s="39">
        <f t="shared" ref="C40:L40" si="14">C11+C25</f>
        <v>250</v>
      </c>
      <c r="D40" s="39">
        <f t="shared" si="14"/>
        <v>568.125</v>
      </c>
      <c r="E40" s="39">
        <f t="shared" si="14"/>
        <v>1133.5999999999999</v>
      </c>
      <c r="F40" s="39">
        <f t="shared" si="14"/>
        <v>1491</v>
      </c>
      <c r="G40" s="39">
        <f t="shared" si="14"/>
        <v>1804.8000000000002</v>
      </c>
      <c r="H40" s="39">
        <f t="shared" si="14"/>
        <v>2027.2</v>
      </c>
      <c r="I40" s="39">
        <f t="shared" si="14"/>
        <v>2140</v>
      </c>
      <c r="J40" s="39">
        <f t="shared" si="14"/>
        <v>2109.6000000000004</v>
      </c>
      <c r="K40" s="39">
        <f t="shared" si="14"/>
        <v>2057.1999999999998</v>
      </c>
      <c r="L40" s="39">
        <f t="shared" si="14"/>
        <v>2047.2800000000002</v>
      </c>
    </row>
    <row r="41" spans="1:12">
      <c r="A41" s="9" t="s">
        <v>266</v>
      </c>
      <c r="B41" s="10"/>
      <c r="C41" s="39">
        <f t="shared" ref="C41:L41" si="15">C21+C35</f>
        <v>0</v>
      </c>
      <c r="D41" s="39">
        <f t="shared" si="15"/>
        <v>2803.3701533303442</v>
      </c>
      <c r="E41" s="39">
        <f t="shared" si="15"/>
        <v>10191.100486175279</v>
      </c>
      <c r="F41" s="39">
        <f t="shared" si="15"/>
        <v>21532.239495100195</v>
      </c>
      <c r="G41" s="39">
        <f t="shared" si="15"/>
        <v>36715.851232281493</v>
      </c>
      <c r="H41" s="39">
        <f t="shared" si="15"/>
        <v>55070.531817385694</v>
      </c>
      <c r="I41" s="39">
        <f t="shared" si="15"/>
        <v>72104.277331077887</v>
      </c>
      <c r="J41" s="39">
        <f t="shared" si="15"/>
        <v>90357.798573434615</v>
      </c>
      <c r="K41" s="39">
        <f t="shared" si="15"/>
        <v>104224.63649394715</v>
      </c>
      <c r="L41" s="39">
        <f t="shared" si="15"/>
        <v>115832.08009571457</v>
      </c>
    </row>
    <row r="43" spans="1:12">
      <c r="A43" s="7" t="s">
        <v>267</v>
      </c>
      <c r="B43" s="8"/>
      <c r="C43" s="8"/>
      <c r="D43" s="8"/>
      <c r="E43" s="8"/>
      <c r="F43" s="8"/>
      <c r="G43" s="8"/>
      <c r="H43" s="8"/>
      <c r="I43" s="8"/>
      <c r="J43" s="8"/>
      <c r="K43" s="8"/>
      <c r="L43" s="8"/>
    </row>
    <row r="44" spans="1:12">
      <c r="A44" s="9" t="s">
        <v>268</v>
      </c>
      <c r="B44" s="10"/>
      <c r="C44" s="13">
        <f>C6*Assumptions!C16*Assumptions!C17</f>
        <v>13.062500000000002</v>
      </c>
      <c r="D44" s="13">
        <f>D6*Assumptions!D16*Assumptions!D17</f>
        <v>57.96</v>
      </c>
      <c r="E44" s="13">
        <f>E6*Assumptions!E16*Assumptions!E17</f>
        <v>159.12</v>
      </c>
      <c r="F44" s="13">
        <f>F6*Assumptions!F16*Assumptions!F17</f>
        <v>314.16000000000003</v>
      </c>
      <c r="G44" s="13">
        <f>G6*Assumptions!G16*Assumptions!G17</f>
        <v>482.56000000000006</v>
      </c>
      <c r="H44" s="13">
        <f>H6*Assumptions!H16*Assumptions!H17</f>
        <v>663</v>
      </c>
      <c r="I44" s="13">
        <f>I6*Assumptions!I16*Assumptions!I17</f>
        <v>816.48</v>
      </c>
      <c r="J44" s="13">
        <f>J6*Assumptions!J16*Assumptions!J17</f>
        <v>1000.008</v>
      </c>
      <c r="K44" s="13">
        <f>K6*Assumptions!K16*Assumptions!K17</f>
        <v>1071.7140000000002</v>
      </c>
      <c r="L44" s="13">
        <f>L6*Assumptions!L16*Assumptions!L17</f>
        <v>1254.5999999999999</v>
      </c>
    </row>
    <row r="45" spans="1:12">
      <c r="A45" s="9" t="s">
        <v>269</v>
      </c>
      <c r="B45" s="10"/>
      <c r="C45" s="13">
        <f>C7*Assumptions!C28*Assumptions!C29</f>
        <v>2.2750000000000004</v>
      </c>
      <c r="D45" s="13">
        <f>D7*Assumptions!D28*Assumptions!D29</f>
        <v>15.3</v>
      </c>
      <c r="E45" s="13">
        <f>E7*Assumptions!E28*Assumptions!E29</f>
        <v>115.6</v>
      </c>
      <c r="F45" s="13">
        <f>F7*Assumptions!F28*Assumptions!F29</f>
        <v>408.57599999999985</v>
      </c>
      <c r="G45" s="13">
        <f>G7*Assumptions!G28*Assumptions!G29</f>
        <v>952.56000000000006</v>
      </c>
      <c r="H45" s="13">
        <f>H7*Assumptions!H28*Assumptions!H29</f>
        <v>1734.1999999999998</v>
      </c>
      <c r="I45" s="13">
        <f>I7*Assumptions!I28*Assumptions!I29</f>
        <v>2494.7999999999997</v>
      </c>
      <c r="J45" s="13">
        <f>J7*Assumptions!J28*Assumptions!J29</f>
        <v>3180.6</v>
      </c>
      <c r="K45" s="13">
        <f>K7*Assumptions!K28*Assumptions!K29</f>
        <v>3551.05</v>
      </c>
      <c r="L45" s="13">
        <f>L7*Assumptions!L28*Assumptions!L29</f>
        <v>4172.4800000000005</v>
      </c>
    </row>
    <row r="46" spans="1:12">
      <c r="A46" s="36" t="s">
        <v>270</v>
      </c>
      <c r="B46" s="37"/>
      <c r="C46" s="41">
        <f t="shared" ref="C46:L46" si="16">C44+C45</f>
        <v>15.337500000000002</v>
      </c>
      <c r="D46" s="41">
        <f t="shared" si="16"/>
        <v>73.260000000000005</v>
      </c>
      <c r="E46" s="41">
        <f t="shared" si="16"/>
        <v>274.72000000000003</v>
      </c>
      <c r="F46" s="41">
        <f t="shared" si="16"/>
        <v>722.73599999999988</v>
      </c>
      <c r="G46" s="41">
        <f t="shared" si="16"/>
        <v>1435.1200000000001</v>
      </c>
      <c r="H46" s="41">
        <f t="shared" si="16"/>
        <v>2397.1999999999998</v>
      </c>
      <c r="I46" s="41">
        <f t="shared" si="16"/>
        <v>3311.2799999999997</v>
      </c>
      <c r="J46" s="41">
        <f t="shared" si="16"/>
        <v>4180.6080000000002</v>
      </c>
      <c r="K46" s="41">
        <f t="shared" si="16"/>
        <v>4622.7640000000001</v>
      </c>
      <c r="L46" s="41">
        <f t="shared" si="16"/>
        <v>5427.08</v>
      </c>
    </row>
    <row r="47" spans="1:12">
      <c r="A47" s="9" t="s">
        <v>271</v>
      </c>
      <c r="B47" s="10" t="s">
        <v>272</v>
      </c>
      <c r="C47" s="40">
        <f>MIN(1,C5/Assumptions!C7)</f>
        <v>0.125</v>
      </c>
      <c r="D47" s="40">
        <f>MIN(1,D5/Assumptions!D7)</f>
        <v>0.375</v>
      </c>
      <c r="E47" s="40">
        <f>MIN(1,E5/Assumptions!E7)</f>
        <v>0.85</v>
      </c>
      <c r="F47" s="40">
        <f>MIN(1,F5/Assumptions!F7)</f>
        <v>1</v>
      </c>
      <c r="G47" s="40">
        <f>MIN(1,G5/Assumptions!G7)</f>
        <v>1</v>
      </c>
      <c r="H47" s="40">
        <f>MIN(1,H5/Assumptions!H7)</f>
        <v>1</v>
      </c>
      <c r="I47" s="40">
        <f>MIN(1,I5/Assumptions!I7)</f>
        <v>1</v>
      </c>
      <c r="J47" s="40">
        <f>MIN(1,J5/Assumptions!J7)</f>
        <v>1</v>
      </c>
      <c r="K47" s="40">
        <f>MIN(1,K5/Assumptions!K7)</f>
        <v>1</v>
      </c>
      <c r="L47" s="40">
        <f>MIN(1,L5/Assumptions!L7)</f>
        <v>1</v>
      </c>
    </row>
    <row r="48" spans="1:12">
      <c r="A48" s="9" t="s">
        <v>273</v>
      </c>
      <c r="B48" s="10"/>
      <c r="C48" s="13">
        <f>Assumptions!C34*Assumptions!C35*C47</f>
        <v>0.22500000000000001</v>
      </c>
      <c r="D48" s="13">
        <f>Assumptions!D34*Assumptions!D35*D47</f>
        <v>2.8875000000000002</v>
      </c>
      <c r="E48" s="13">
        <f>Assumptions!E34*Assumptions!E35*E47</f>
        <v>18.0625</v>
      </c>
      <c r="F48" s="13">
        <f>Assumptions!F34*Assumptions!F35*F47</f>
        <v>45.6</v>
      </c>
      <c r="G48" s="13">
        <f>Assumptions!G34*Assumptions!G35*G47</f>
        <v>76</v>
      </c>
      <c r="H48" s="13">
        <f>Assumptions!H34*Assumptions!H35*H47</f>
        <v>102</v>
      </c>
      <c r="I48" s="13">
        <f>Assumptions!I34*Assumptions!I35*I47</f>
        <v>124</v>
      </c>
      <c r="J48" s="13">
        <f>Assumptions!J34*Assumptions!J35*J47</f>
        <v>142</v>
      </c>
      <c r="K48" s="13">
        <f>Assumptions!K34*Assumptions!K35*K47</f>
        <v>158</v>
      </c>
      <c r="L48" s="13">
        <f>Assumptions!L34*Assumptions!L35*L47</f>
        <v>170</v>
      </c>
    </row>
    <row r="49" spans="1:12">
      <c r="A49" s="9" t="s">
        <v>274</v>
      </c>
      <c r="B49" s="10"/>
      <c r="C49" s="13">
        <f>MAX(0,Assumptions!C34-IF(1=1,0,Assumptions!C34))</f>
        <v>18</v>
      </c>
      <c r="D49" s="13">
        <f>MAX(0,Assumptions!D34-IF(2=1,0,Assumptions!C34))</f>
        <v>37</v>
      </c>
      <c r="E49" s="13">
        <f>MAX(0,Assumptions!E34-IF(3=1,0,Assumptions!D34))</f>
        <v>70</v>
      </c>
      <c r="F49" s="13">
        <f>MAX(0,Assumptions!F34-IF(4=1,0,Assumptions!E34))</f>
        <v>115</v>
      </c>
      <c r="G49" s="13">
        <f>MAX(0,Assumptions!G34-IF(5=1,0,Assumptions!F34))</f>
        <v>140</v>
      </c>
      <c r="H49" s="13">
        <f>MAX(0,Assumptions!H34-IF(6=1,0,Assumptions!G34))</f>
        <v>130</v>
      </c>
      <c r="I49" s="13">
        <f>MAX(0,Assumptions!I34-IF(7=1,0,Assumptions!H34))</f>
        <v>110</v>
      </c>
      <c r="J49" s="13">
        <f>MAX(0,Assumptions!J34-IF(8=1,0,Assumptions!I34))</f>
        <v>90</v>
      </c>
      <c r="K49" s="13">
        <f>MAX(0,Assumptions!K34-IF(9=1,0,Assumptions!J34))</f>
        <v>80</v>
      </c>
      <c r="L49" s="13">
        <f>MAX(0,Assumptions!L34-IF(10=1,0,Assumptions!K34))</f>
        <v>60</v>
      </c>
    </row>
    <row r="51" spans="1:12">
      <c r="A51" s="7" t="s">
        <v>275</v>
      </c>
      <c r="B51" s="8"/>
      <c r="C51" s="8"/>
      <c r="D51" s="8"/>
      <c r="E51" s="8"/>
      <c r="F51" s="8"/>
      <c r="G51" s="8"/>
      <c r="H51" s="8"/>
      <c r="I51" s="8"/>
      <c r="J51" s="8"/>
      <c r="K51" s="8"/>
      <c r="L51" s="8"/>
    </row>
    <row r="52" spans="1:12">
      <c r="A52" s="9" t="s">
        <v>276</v>
      </c>
      <c r="B52" s="10" t="s">
        <v>277</v>
      </c>
      <c r="C52" s="19">
        <f>Assumptions!C102*Assumptions!C100+(1-Assumptions!C102)*Assumptions!C98</f>
        <v>0.2</v>
      </c>
      <c r="D52" s="19">
        <f>Assumptions!D102*Assumptions!D100+(1-Assumptions!D102)*Assumptions!D98</f>
        <v>0.22500000000000003</v>
      </c>
      <c r="E52" s="19">
        <f>Assumptions!E102*Assumptions!E100+(1-Assumptions!E102)*Assumptions!E98</f>
        <v>0.25000000000000006</v>
      </c>
      <c r="F52" s="19">
        <f>Assumptions!F102*Assumptions!F100+(1-Assumptions!F102)*Assumptions!F98</f>
        <v>0.27</v>
      </c>
      <c r="G52" s="19">
        <f>Assumptions!G102*Assumptions!G100+(1-Assumptions!G102)*Assumptions!G98</f>
        <v>0.28500000000000003</v>
      </c>
      <c r="H52" s="19">
        <f>Assumptions!H102*Assumptions!H100+(1-Assumptions!H102)*Assumptions!H98</f>
        <v>0.29500000000000004</v>
      </c>
      <c r="I52" s="19">
        <f>Assumptions!I102*Assumptions!I100+(1-Assumptions!I102)*Assumptions!I98</f>
        <v>0.30500000000000005</v>
      </c>
      <c r="J52" s="19">
        <f>Assumptions!J102*Assumptions!J100+(1-Assumptions!J102)*Assumptions!J98</f>
        <v>0.31000000000000005</v>
      </c>
      <c r="K52" s="19">
        <f>Assumptions!K102*Assumptions!K100+(1-Assumptions!K102)*Assumptions!K98</f>
        <v>0.31500000000000006</v>
      </c>
      <c r="L52" s="19">
        <f>Assumptions!L102*Assumptions!L100+(1-Assumptions!L102)*Assumptions!L98</f>
        <v>0.3175</v>
      </c>
    </row>
    <row r="53" spans="1:12">
      <c r="A53" s="9" t="s">
        <v>278</v>
      </c>
      <c r="B53" s="10" t="s">
        <v>277</v>
      </c>
      <c r="C53" s="19">
        <f>Assumptions!C102*Assumptions!C101+(1-Assumptions!C102)*Assumptions!C99</f>
        <v>0.25</v>
      </c>
      <c r="D53" s="19">
        <f>Assumptions!D102*Assumptions!D101+(1-Assumptions!D102)*Assumptions!D99</f>
        <v>0.24299999999999999</v>
      </c>
      <c r="E53" s="19">
        <f>Assumptions!E102*Assumptions!E101+(1-Assumptions!E102)*Assumptions!E99</f>
        <v>0.23600000000000002</v>
      </c>
      <c r="F53" s="19">
        <f>Assumptions!F102*Assumptions!F101+(1-Assumptions!F102)*Assumptions!F99</f>
        <v>0.23039999999999999</v>
      </c>
      <c r="G53" s="19">
        <f>Assumptions!G102*Assumptions!G101+(1-Assumptions!G102)*Assumptions!G99</f>
        <v>0.22619999999999998</v>
      </c>
      <c r="H53" s="19">
        <f>Assumptions!H102*Assumptions!H101+(1-Assumptions!H102)*Assumptions!H99</f>
        <v>0.22339999999999999</v>
      </c>
      <c r="I53" s="19">
        <f>Assumptions!I102*Assumptions!I101+(1-Assumptions!I102)*Assumptions!I99</f>
        <v>0.22060000000000002</v>
      </c>
      <c r="J53" s="19">
        <f>Assumptions!J102*Assumptions!J101+(1-Assumptions!J102)*Assumptions!J99</f>
        <v>0.21920000000000001</v>
      </c>
      <c r="K53" s="19">
        <f>Assumptions!K102*Assumptions!K101+(1-Assumptions!K102)*Assumptions!K99</f>
        <v>0.21779999999999999</v>
      </c>
      <c r="L53" s="19">
        <f>Assumptions!L102*Assumptions!L101+(1-Assumptions!L102)*Assumptions!L99</f>
        <v>0.21710000000000002</v>
      </c>
    </row>
    <row r="54" spans="1:12">
      <c r="A54" s="9" t="s">
        <v>279</v>
      </c>
      <c r="B54" s="10" t="s">
        <v>280</v>
      </c>
      <c r="C54" s="39">
        <f t="shared" ref="C54:L54" si="17">C40/C52</f>
        <v>1250</v>
      </c>
      <c r="D54" s="39">
        <f t="shared" si="17"/>
        <v>2524.9999999999995</v>
      </c>
      <c r="E54" s="39">
        <f t="shared" si="17"/>
        <v>4534.3999999999987</v>
      </c>
      <c r="F54" s="39">
        <f t="shared" si="17"/>
        <v>5522.2222222222217</v>
      </c>
      <c r="G54" s="39">
        <f t="shared" si="17"/>
        <v>6332.6315789473683</v>
      </c>
      <c r="H54" s="39">
        <f t="shared" si="17"/>
        <v>6871.8644067796604</v>
      </c>
      <c r="I54" s="39">
        <f t="shared" si="17"/>
        <v>7016.3934426229498</v>
      </c>
      <c r="J54" s="39">
        <f t="shared" si="17"/>
        <v>6805.1612903225805</v>
      </c>
      <c r="K54" s="39">
        <f t="shared" si="17"/>
        <v>6530.7936507936492</v>
      </c>
      <c r="L54" s="39">
        <f t="shared" si="17"/>
        <v>6448.1259842519694</v>
      </c>
    </row>
    <row r="55" spans="1:12">
      <c r="A55" s="9" t="s">
        <v>281</v>
      </c>
      <c r="B55" s="10" t="s">
        <v>282</v>
      </c>
      <c r="C55" s="39">
        <f t="shared" ref="C55:L55" si="18">C54*C53</f>
        <v>312.5</v>
      </c>
      <c r="D55" s="39">
        <f t="shared" si="18"/>
        <v>613.57499999999982</v>
      </c>
      <c r="E55" s="39">
        <f t="shared" si="18"/>
        <v>1070.1183999999998</v>
      </c>
      <c r="F55" s="39">
        <f t="shared" si="18"/>
        <v>1272.32</v>
      </c>
      <c r="G55" s="39">
        <f t="shared" si="18"/>
        <v>1432.4412631578946</v>
      </c>
      <c r="H55" s="39">
        <f t="shared" si="18"/>
        <v>1535.174508474576</v>
      </c>
      <c r="I55" s="39">
        <f t="shared" si="18"/>
        <v>1547.8163934426229</v>
      </c>
      <c r="J55" s="39">
        <f t="shared" si="18"/>
        <v>1491.6913548387097</v>
      </c>
      <c r="K55" s="39">
        <f t="shared" si="18"/>
        <v>1422.4068571428568</v>
      </c>
      <c r="L55" s="39">
        <f t="shared" si="18"/>
        <v>1399.8881511811026</v>
      </c>
    </row>
    <row r="56" spans="1:12">
      <c r="A56" s="9" t="s">
        <v>283</v>
      </c>
      <c r="B56" s="10" t="s">
        <v>284</v>
      </c>
      <c r="C56" s="21">
        <f>C55*Assumptions!C103/60/Assumptions!C104</f>
        <v>1.2254901960784314E-2</v>
      </c>
      <c r="D56" s="21">
        <f>D55*Assumptions!D103/60/Assumptions!D104</f>
        <v>2.4061764705882345E-2</v>
      </c>
      <c r="E56" s="21">
        <f>E55*Assumptions!E103/60/Assumptions!E104</f>
        <v>4.1965427450980385E-2</v>
      </c>
      <c r="F56" s="21">
        <f>F55*Assumptions!F103/60/Assumptions!F104</f>
        <v>4.9894901960784312E-2</v>
      </c>
      <c r="G56" s="21">
        <f>G55*Assumptions!G103/60/Assumptions!G104</f>
        <v>5.6174167182662535E-2</v>
      </c>
      <c r="H56" s="21">
        <f>H55*Assumptions!H103/60/Assumptions!H104</f>
        <v>6.0202921900963761E-2</v>
      </c>
      <c r="I56" s="21">
        <f>I55*Assumptions!I103/60/Assumptions!I104</f>
        <v>6.0698682095789137E-2</v>
      </c>
      <c r="J56" s="21">
        <f>J55*Assumptions!J103/60/Assumptions!J104</f>
        <v>5.8497700189753324E-2</v>
      </c>
      <c r="K56" s="21">
        <f>K55*Assumptions!K103/60/Assumptions!K104</f>
        <v>5.5780661064425752E-2</v>
      </c>
      <c r="L56" s="21">
        <f>L55*Assumptions!L103/60/Assumptions!L104</f>
        <v>5.4897574556121667E-2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8"/>
  <sheetViews>
    <sheetView workbookViewId="0">
      <pane xSplit="2" ySplit="2" topLeftCell="C3" activePane="bottomRight" state="frozen"/>
      <selection pane="bottomRight"/>
      <selection pane="bottomLeft"/>
      <selection pane="topRight"/>
    </sheetView>
  </sheetViews>
  <sheetFormatPr defaultRowHeight="14.45"/>
  <cols>
    <col min="1" max="1" width="44" customWidth="1"/>
    <col min="2" max="2" width="15" customWidth="1"/>
    <col min="3" max="12" width="13" customWidth="1"/>
  </cols>
  <sheetData>
    <row r="1" spans="1:12" ht="17.100000000000001">
      <c r="A1" s="1" t="s">
        <v>285</v>
      </c>
    </row>
    <row r="2" spans="1:12">
      <c r="A2" s="5" t="s">
        <v>54</v>
      </c>
      <c r="B2" s="5" t="s">
        <v>55</v>
      </c>
      <c r="C2" s="6" t="s">
        <v>56</v>
      </c>
      <c r="D2" s="6" t="s">
        <v>57</v>
      </c>
      <c r="E2" s="6" t="s">
        <v>58</v>
      </c>
      <c r="F2" s="6" t="s">
        <v>59</v>
      </c>
      <c r="G2" s="6" t="s">
        <v>60</v>
      </c>
      <c r="H2" s="6" t="s">
        <v>61</v>
      </c>
      <c r="I2" s="6" t="s">
        <v>62</v>
      </c>
      <c r="J2" s="6" t="s">
        <v>63</v>
      </c>
      <c r="K2" s="6" t="s">
        <v>64</v>
      </c>
      <c r="L2" s="6" t="s">
        <v>65</v>
      </c>
    </row>
    <row r="4" spans="1:12">
      <c r="A4" s="7" t="s">
        <v>286</v>
      </c>
      <c r="B4" s="8"/>
      <c r="C4" s="8"/>
      <c r="D4" s="8"/>
      <c r="E4" s="8"/>
      <c r="F4" s="8"/>
      <c r="G4" s="8"/>
      <c r="H4" s="8"/>
      <c r="I4" s="8"/>
      <c r="J4" s="8"/>
      <c r="K4" s="8"/>
      <c r="L4" s="8"/>
    </row>
    <row r="5" spans="1:12">
      <c r="A5" s="9" t="s">
        <v>287</v>
      </c>
      <c r="B5" s="10" t="s">
        <v>288</v>
      </c>
      <c r="C5" s="22">
        <f>Drivers!C20*Assumptions!C12*12/(1+Assumptions!C48)</f>
        <v>0</v>
      </c>
      <c r="D5" s="22">
        <f>Drivers!D20*Assumptions!D12*12/(1+Assumptions!D48)</f>
        <v>242191.3798303408</v>
      </c>
      <c r="E5" s="22">
        <f>Drivers!E20*Assumptions!E12*12/(1+Assumptions!E48)</f>
        <v>819104.03933944507</v>
      </c>
      <c r="F5" s="22">
        <f>Drivers!F20*Assumptions!F12*12/(1+Assumptions!F48)</f>
        <v>1598269.2942057238</v>
      </c>
      <c r="G5" s="22">
        <f>Drivers!G20*Assumptions!G12*12/(1+Assumptions!G48)</f>
        <v>2430451.4672344923</v>
      </c>
      <c r="H5" s="22">
        <f>Drivers!H20*Assumptions!H12*12/(1+Assumptions!H48)</f>
        <v>3183191.056496304</v>
      </c>
      <c r="I5" s="22">
        <f>Drivers!I20*Assumptions!I12*12/(1+Assumptions!I48)</f>
        <v>3931473.3359801131</v>
      </c>
      <c r="J5" s="22">
        <f>Drivers!J20*Assumptions!J12*12/(1+Assumptions!J48)</f>
        <v>4645521.3029477894</v>
      </c>
      <c r="K5" s="22">
        <f>Drivers!K20*Assumptions!K12*12/(1+Assumptions!K48)</f>
        <v>5319557.6098449025</v>
      </c>
      <c r="L5" s="22">
        <f>Drivers!L20*Assumptions!L12*12/(1+Assumptions!L48)</f>
        <v>5894160.1218948169</v>
      </c>
    </row>
    <row r="6" spans="1:12">
      <c r="A6" s="9" t="s">
        <v>289</v>
      </c>
      <c r="B6" s="10" t="s">
        <v>290</v>
      </c>
      <c r="C6" s="22">
        <f>Drivers!C34*Assumptions!C24*12/(1+Assumptions!C48)</f>
        <v>0</v>
      </c>
      <c r="D6" s="22">
        <f>Drivers!D34*Assumptions!D24*12/(1+Assumptions!D48)</f>
        <v>10893.262862739937</v>
      </c>
      <c r="E6" s="22">
        <f>Drivers!E34*Assumptions!E24*12/(1+Assumptions!E48)</f>
        <v>91028.740816212783</v>
      </c>
      <c r="F6" s="22">
        <f>Drivers!F34*Assumptions!F24*12/(1+Assumptions!F48)</f>
        <v>356721.44237532176</v>
      </c>
      <c r="G6" s="22">
        <f>Drivers!G34*Assumptions!G24*12/(1+Assumptions!G48)</f>
        <v>946374.21987695387</v>
      </c>
      <c r="H6" s="22">
        <f>Drivers!H34*Assumptions!H24*12/(1+Assumptions!H48)</f>
        <v>1924244.6305125374</v>
      </c>
      <c r="I6" s="22">
        <f>Drivers!I34*Assumptions!I24*12/(1+Assumptions!I48)</f>
        <v>3159672.3960467433</v>
      </c>
      <c r="J6" s="22">
        <f>Drivers!J34*Assumptions!J24*12/(1+Assumptions!J48)</f>
        <v>4322543.7763619944</v>
      </c>
      <c r="K6" s="22">
        <f>Drivers!K34*Assumptions!K24*12/(1+Assumptions!K48)</f>
        <v>5290934.959842423</v>
      </c>
      <c r="L6" s="22">
        <f>Drivers!L34*Assumptions!L24*12/(1+Assumptions!L48)</f>
        <v>6092293.6158551415</v>
      </c>
    </row>
    <row r="7" spans="1:12">
      <c r="A7" s="36" t="s">
        <v>291</v>
      </c>
      <c r="B7" s="37"/>
      <c r="C7" s="43">
        <f t="shared" ref="C7:L7" si="0">C5+C6</f>
        <v>0</v>
      </c>
      <c r="D7" s="43">
        <f t="shared" si="0"/>
        <v>253084.64269308074</v>
      </c>
      <c r="E7" s="43">
        <f t="shared" si="0"/>
        <v>910132.78015565779</v>
      </c>
      <c r="F7" s="43">
        <f t="shared" si="0"/>
        <v>1954990.7365810457</v>
      </c>
      <c r="G7" s="43">
        <f t="shared" si="0"/>
        <v>3376825.6871114462</v>
      </c>
      <c r="H7" s="43">
        <f t="shared" si="0"/>
        <v>5107435.687008841</v>
      </c>
      <c r="I7" s="43">
        <f t="shared" si="0"/>
        <v>7091145.7320268564</v>
      </c>
      <c r="J7" s="43">
        <f t="shared" si="0"/>
        <v>8968065.0793097839</v>
      </c>
      <c r="K7" s="43">
        <f t="shared" si="0"/>
        <v>10610492.569687326</v>
      </c>
      <c r="L7" s="43">
        <f t="shared" si="0"/>
        <v>11986453.737749958</v>
      </c>
    </row>
    <row r="8" spans="1:12">
      <c r="A8" s="9" t="s">
        <v>292</v>
      </c>
      <c r="B8" s="10" t="s">
        <v>293</v>
      </c>
      <c r="C8" s="22">
        <f>C7*Assumptions!C49</f>
        <v>0</v>
      </c>
      <c r="D8" s="22">
        <f>D7*Assumptions!D49</f>
        <v>88579.624942578259</v>
      </c>
      <c r="E8" s="22">
        <f>E7*Assumptions!E49</f>
        <v>318546.47305448022</v>
      </c>
      <c r="F8" s="22">
        <f>F7*Assumptions!F49</f>
        <v>684246.75780336594</v>
      </c>
      <c r="G8" s="22">
        <f>G7*Assumptions!G49</f>
        <v>1181888.990489006</v>
      </c>
      <c r="H8" s="22">
        <f>H7*Assumptions!H49</f>
        <v>1787602.4904530942</v>
      </c>
      <c r="I8" s="22">
        <f>I7*Assumptions!I49</f>
        <v>2481901.0062093996</v>
      </c>
      <c r="J8" s="22">
        <f>J7*Assumptions!J49</f>
        <v>3138822.7777584242</v>
      </c>
      <c r="K8" s="22">
        <f>K7*Assumptions!K49</f>
        <v>3713672.3993905638</v>
      </c>
      <c r="L8" s="22">
        <f>L7*Assumptions!L49</f>
        <v>4195258.8082124852</v>
      </c>
    </row>
    <row r="9" spans="1:12">
      <c r="A9" s="36" t="s">
        <v>294</v>
      </c>
      <c r="B9" s="37" t="s">
        <v>295</v>
      </c>
      <c r="C9" s="43">
        <f t="shared" ref="C9:L9" si="1">C7+C8</f>
        <v>0</v>
      </c>
      <c r="D9" s="43">
        <f t="shared" si="1"/>
        <v>341664.26763565897</v>
      </c>
      <c r="E9" s="43">
        <f t="shared" si="1"/>
        <v>1228679.2532101381</v>
      </c>
      <c r="F9" s="43">
        <f t="shared" si="1"/>
        <v>2639237.4943844117</v>
      </c>
      <c r="G9" s="43">
        <f t="shared" si="1"/>
        <v>4558714.6776004527</v>
      </c>
      <c r="H9" s="43">
        <f t="shared" si="1"/>
        <v>6895038.1774619352</v>
      </c>
      <c r="I9" s="43">
        <f t="shared" si="1"/>
        <v>9573046.7382362559</v>
      </c>
      <c r="J9" s="43">
        <f t="shared" si="1"/>
        <v>12106887.857068207</v>
      </c>
      <c r="K9" s="43">
        <f t="shared" si="1"/>
        <v>14324164.969077889</v>
      </c>
      <c r="L9" s="43">
        <f t="shared" si="1"/>
        <v>16181712.545962444</v>
      </c>
    </row>
    <row r="10" spans="1:12">
      <c r="A10" s="9" t="s">
        <v>296</v>
      </c>
      <c r="B10" s="10" t="s">
        <v>297</v>
      </c>
      <c r="C10" s="22">
        <f>C9*(1+Assumptions!C48)</f>
        <v>0</v>
      </c>
      <c r="D10" s="22">
        <f>D9*(1+Assumptions!D48)</f>
        <v>413413.76383914734</v>
      </c>
      <c r="E10" s="22">
        <f>E9*(1+Assumptions!E48)</f>
        <v>1486701.8963842669</v>
      </c>
      <c r="F10" s="22">
        <f>F9*(1+Assumptions!F48)</f>
        <v>3193477.368205138</v>
      </c>
      <c r="G10" s="22">
        <f>G9*(1+Assumptions!G48)</f>
        <v>5516044.7598965475</v>
      </c>
      <c r="H10" s="22">
        <f>H9*(1+Assumptions!H48)</f>
        <v>8342996.1947289417</v>
      </c>
      <c r="I10" s="22">
        <f>I9*(1+Assumptions!I48)</f>
        <v>11583386.55326587</v>
      </c>
      <c r="J10" s="22">
        <f>J9*(1+Assumptions!J48)</f>
        <v>14649334.30705253</v>
      </c>
      <c r="K10" s="22">
        <f>K9*(1+Assumptions!K48)</f>
        <v>17332239.612584244</v>
      </c>
      <c r="L10" s="22">
        <f>L9*(1+Assumptions!L48)</f>
        <v>19579872.180614557</v>
      </c>
    </row>
    <row r="12" spans="1:12">
      <c r="A12" s="7" t="s">
        <v>298</v>
      </c>
      <c r="B12" s="8"/>
      <c r="C12" s="8"/>
      <c r="D12" s="8"/>
      <c r="E12" s="8"/>
      <c r="F12" s="8"/>
      <c r="G12" s="8"/>
      <c r="H12" s="8"/>
      <c r="I12" s="8"/>
      <c r="J12" s="8"/>
      <c r="K12" s="8"/>
      <c r="L12" s="8"/>
    </row>
    <row r="13" spans="1:12">
      <c r="A13" s="9" t="s">
        <v>299</v>
      </c>
      <c r="B13" s="10"/>
      <c r="C13" s="22">
        <f>Drivers!C44*Assumptions!C18</f>
        <v>11756.250000000002</v>
      </c>
      <c r="D13" s="22">
        <f>Drivers!D44*Assumptions!D18</f>
        <v>60858</v>
      </c>
      <c r="E13" s="22">
        <f>Drivers!E44*Assumptions!E18</f>
        <v>190944</v>
      </c>
      <c r="F13" s="22">
        <f>Drivers!F44*Assumptions!F18</f>
        <v>424116.00000000006</v>
      </c>
      <c r="G13" s="22">
        <f>Drivers!G44*Assumptions!G18</f>
        <v>723840.00000000012</v>
      </c>
      <c r="H13" s="22">
        <f>Drivers!H44*Assumptions!H18</f>
        <v>1060800</v>
      </c>
      <c r="I13" s="22">
        <f>Drivers!I44*Assumptions!I18</f>
        <v>1388016</v>
      </c>
      <c r="J13" s="22">
        <f>Drivers!J44*Assumptions!J18</f>
        <v>1800014.4000000001</v>
      </c>
      <c r="K13" s="22">
        <f>Drivers!K44*Assumptions!K18</f>
        <v>2036256.6000000003</v>
      </c>
      <c r="L13" s="22">
        <f>Drivers!L44*Assumptions!L18</f>
        <v>2509200</v>
      </c>
    </row>
    <row r="14" spans="1:12">
      <c r="A14" s="9" t="s">
        <v>300</v>
      </c>
      <c r="B14" s="10"/>
      <c r="C14" s="22">
        <f>Drivers!C45*Assumptions!C30</f>
        <v>5005.0000000000009</v>
      </c>
      <c r="D14" s="22">
        <f>Drivers!D45*Assumptions!D30</f>
        <v>38250</v>
      </c>
      <c r="E14" s="22">
        <f>Drivers!E45*Assumptions!E30</f>
        <v>323680</v>
      </c>
      <c r="F14" s="22">
        <f>Drivers!F45*Assumptions!F30</f>
        <v>1266585.5999999996</v>
      </c>
      <c r="G14" s="22">
        <f>Drivers!G45*Assumptions!G30</f>
        <v>3238704</v>
      </c>
      <c r="H14" s="22">
        <f>Drivers!H45*Assumptions!H30</f>
        <v>6416539.9999999991</v>
      </c>
      <c r="I14" s="22">
        <f>Drivers!I45*Assumptions!I30</f>
        <v>9979199.9999999981</v>
      </c>
      <c r="J14" s="22">
        <f>Drivers!J45*Assumptions!J30</f>
        <v>13358520</v>
      </c>
      <c r="K14" s="22">
        <f>Drivers!K45*Assumptions!K30</f>
        <v>15624620</v>
      </c>
      <c r="L14" s="22">
        <f>Drivers!L45*Assumptions!L30</f>
        <v>19193408.000000004</v>
      </c>
    </row>
    <row r="15" spans="1:12">
      <c r="A15" s="36" t="s">
        <v>301</v>
      </c>
      <c r="B15" s="37"/>
      <c r="C15" s="43">
        <f t="shared" ref="C15:L15" si="2">C13+C14</f>
        <v>16761.250000000004</v>
      </c>
      <c r="D15" s="43">
        <f t="shared" si="2"/>
        <v>99108</v>
      </c>
      <c r="E15" s="43">
        <f t="shared" si="2"/>
        <v>514624</v>
      </c>
      <c r="F15" s="43">
        <f t="shared" si="2"/>
        <v>1690701.5999999996</v>
      </c>
      <c r="G15" s="43">
        <f t="shared" si="2"/>
        <v>3962544</v>
      </c>
      <c r="H15" s="43">
        <f t="shared" si="2"/>
        <v>7477339.9999999991</v>
      </c>
      <c r="I15" s="43">
        <f t="shared" si="2"/>
        <v>11367215.999999998</v>
      </c>
      <c r="J15" s="43">
        <f t="shared" si="2"/>
        <v>15158534.4</v>
      </c>
      <c r="K15" s="43">
        <f t="shared" si="2"/>
        <v>17660876.600000001</v>
      </c>
      <c r="L15" s="43">
        <f t="shared" si="2"/>
        <v>21702608.000000004</v>
      </c>
    </row>
    <row r="16" spans="1:12">
      <c r="A16" s="9" t="s">
        <v>302</v>
      </c>
      <c r="B16" s="10"/>
      <c r="C16" s="19">
        <f>MAX(0,(Assumptions!C36-Assumptions!C46)/(Assumptions!C47-Assumptions!C46))</f>
        <v>0</v>
      </c>
      <c r="D16" s="19">
        <f>MAX(0,(Assumptions!D36-Assumptions!D46)/(Assumptions!D47-Assumptions!D46))</f>
        <v>0</v>
      </c>
      <c r="E16" s="19">
        <f>MAX(0,(Assumptions!E36-Assumptions!E46)/(Assumptions!E47-Assumptions!E46))</f>
        <v>1.4666666666666666E-2</v>
      </c>
      <c r="F16" s="19">
        <f>MAX(0,(Assumptions!F36-Assumptions!F46)/(Assumptions!F47-Assumptions!F46))</f>
        <v>5.4666666666666669E-2</v>
      </c>
      <c r="G16" s="19">
        <f>MAX(0,(Assumptions!G36-Assumptions!G46)/(Assumptions!G47-Assumptions!G46))</f>
        <v>9.4666666666666663E-2</v>
      </c>
      <c r="H16" s="19">
        <f>MAX(0,(Assumptions!H36-Assumptions!H46)/(Assumptions!H47-Assumptions!H46))</f>
        <v>0.14799999999999999</v>
      </c>
      <c r="I16" s="19">
        <f>MAX(0,(Assumptions!I36-Assumptions!I46)/(Assumptions!I47-Assumptions!I46))</f>
        <v>0.20133333333333334</v>
      </c>
      <c r="J16" s="19">
        <f>MAX(0,(Assumptions!J36-Assumptions!J46)/(Assumptions!J47-Assumptions!J46))</f>
        <v>0.24133333333333334</v>
      </c>
      <c r="K16" s="19">
        <f>MAX(0,(Assumptions!K36-Assumptions!K46)/(Assumptions!K47-Assumptions!K46))</f>
        <v>0.27466666666666667</v>
      </c>
      <c r="L16" s="19">
        <f>MAX(0,(Assumptions!L36-Assumptions!L46)/(Assumptions!L47-Assumptions!L46))</f>
        <v>0.30133333333333334</v>
      </c>
    </row>
    <row r="17" spans="1:12">
      <c r="A17" s="9" t="s">
        <v>303</v>
      </c>
      <c r="B17" s="10"/>
      <c r="C17" s="19">
        <f>MAX(0,(Assumptions!C46-Assumptions!C36)/(Assumptions!C46-Assumptions!C45))</f>
        <v>0.33333333333333331</v>
      </c>
      <c r="D17" s="19">
        <f>MAX(0,(Assumptions!D46-Assumptions!D36)/(Assumptions!D46-Assumptions!D45))</f>
        <v>0.13333333333333333</v>
      </c>
      <c r="E17" s="19">
        <f>MAX(0,(Assumptions!E46-Assumptions!E36)/(Assumptions!E46-Assumptions!E45))</f>
        <v>0</v>
      </c>
      <c r="F17" s="19">
        <f>MAX(0,(Assumptions!F46-Assumptions!F36)/(Assumptions!F46-Assumptions!F45))</f>
        <v>0</v>
      </c>
      <c r="G17" s="19">
        <f>MAX(0,(Assumptions!G46-Assumptions!G36)/(Assumptions!G46-Assumptions!G45))</f>
        <v>0</v>
      </c>
      <c r="H17" s="19">
        <f>MAX(0,(Assumptions!H46-Assumptions!H36)/(Assumptions!H46-Assumptions!H45))</f>
        <v>0</v>
      </c>
      <c r="I17" s="19">
        <f>MAX(0,(Assumptions!I46-Assumptions!I36)/(Assumptions!I46-Assumptions!I45))</f>
        <v>0</v>
      </c>
      <c r="J17" s="19">
        <f>MAX(0,(Assumptions!J46-Assumptions!J36)/(Assumptions!J46-Assumptions!J45))</f>
        <v>0</v>
      </c>
      <c r="K17" s="19">
        <f>MAX(0,(Assumptions!K46-Assumptions!K36)/(Assumptions!K46-Assumptions!K45))</f>
        <v>0</v>
      </c>
      <c r="L17" s="19">
        <f>MAX(0,(Assumptions!L46-Assumptions!L36)/(Assumptions!L46-Assumptions!L45))</f>
        <v>0</v>
      </c>
    </row>
    <row r="18" spans="1:12">
      <c r="A18" s="9" t="s">
        <v>304</v>
      </c>
      <c r="B18" s="10"/>
      <c r="C18" s="19">
        <f>MIN(1,Assumptions!C35*Assumptions!C44)</f>
        <v>0.2</v>
      </c>
      <c r="D18" s="19">
        <f>MIN(1,Assumptions!D35*Assumptions!D44)</f>
        <v>0.28000000000000003</v>
      </c>
      <c r="E18" s="19">
        <f>MIN(1,Assumptions!E35*Assumptions!E44)</f>
        <v>0.34</v>
      </c>
      <c r="F18" s="19">
        <f>MIN(1,Assumptions!F35*Assumptions!F44)</f>
        <v>0.38</v>
      </c>
      <c r="G18" s="19">
        <f>MIN(1,Assumptions!G35*Assumptions!G44)</f>
        <v>0.4</v>
      </c>
      <c r="H18" s="19">
        <f>MIN(1,Assumptions!H35*Assumptions!H44)</f>
        <v>0.4</v>
      </c>
      <c r="I18" s="19">
        <f>MIN(1,Assumptions!I35*Assumptions!I44)</f>
        <v>0.4</v>
      </c>
      <c r="J18" s="19">
        <f>MIN(1,Assumptions!J35*Assumptions!J44)</f>
        <v>0.4</v>
      </c>
      <c r="K18" s="19">
        <f>MIN(1,Assumptions!K35*Assumptions!K44)</f>
        <v>0.4</v>
      </c>
      <c r="L18" s="19">
        <f>MIN(1,Assumptions!L35*Assumptions!L44)</f>
        <v>0.4</v>
      </c>
    </row>
    <row r="19" spans="1:12">
      <c r="A19" s="36" t="s">
        <v>305</v>
      </c>
      <c r="B19" s="37"/>
      <c r="C19" s="44">
        <f>(1-C18)*Assumptions!C41+C18*(C17*Assumptions!C41+(1-C17-C16)*Assumptions!C42+C16*Assumptions!C43)</f>
        <v>9.6000000000000016E-2</v>
      </c>
      <c r="D19" s="44">
        <f>(1-D18)*Assumptions!D41+D18*(D17*Assumptions!D41+(1-D17-D16)*Assumptions!D42+D16*Assumptions!D43)</f>
        <v>9.2719999999999997E-2</v>
      </c>
      <c r="E19" s="44">
        <f>(1-E18)*Assumptions!E41+E18*(E17*Assumptions!E41+(1-E17-E16)*Assumptions!E42+E16*Assumptions!E43)</f>
        <v>8.9700266666666653E-2</v>
      </c>
      <c r="F19" s="44">
        <f>(1-F18)*Assumptions!F41+F18*(F17*Assumptions!F41+(1-F17-F16)*Assumptions!F42+F16*Assumptions!F43)</f>
        <v>8.8184533333333343E-2</v>
      </c>
      <c r="G19" s="44">
        <f>(1-G18)*Assumptions!G41+G18*(G17*Assumptions!G41+(1-G17-G16)*Assumptions!G42+G16*Assumptions!G43)</f>
        <v>8.7242666666666663E-2</v>
      </c>
      <c r="H19" s="44">
        <f>(1-H18)*Assumptions!H41+H18*(H17*Assumptions!H41+(1-H17-H16)*Assumptions!H42+H16*Assumptions!H43)</f>
        <v>8.6816000000000004E-2</v>
      </c>
      <c r="I19" s="44">
        <f>(1-I18)*Assumptions!I41+I18*(I17*Assumptions!I41+(1-I17-I16)*Assumptions!I42+I16*Assumptions!I43)</f>
        <v>8.6389333333333332E-2</v>
      </c>
      <c r="J19" s="44">
        <f>(1-J18)*Assumptions!J41+J18*(J17*Assumptions!J41+(1-J17-J16)*Assumptions!J42+J16*Assumptions!J43)</f>
        <v>8.6069333333333331E-2</v>
      </c>
      <c r="K19" s="44">
        <f>(1-K18)*Assumptions!K41+K18*(K17*Assumptions!K41+(1-K17-K16)*Assumptions!K42+K16*Assumptions!K43)</f>
        <v>8.5802666666666666E-2</v>
      </c>
      <c r="L19" s="44">
        <f>(1-L18)*Assumptions!L41+L18*(L17*Assumptions!L41+(1-L17-L16)*Assumptions!L42+L16*Assumptions!L43)</f>
        <v>8.5589333333333337E-2</v>
      </c>
    </row>
    <row r="20" spans="1:12">
      <c r="A20" s="45" t="s">
        <v>306</v>
      </c>
      <c r="B20" s="37"/>
      <c r="C20" s="46">
        <f t="shared" ref="C20:L20" si="3">C9+C15</f>
        <v>16761.250000000004</v>
      </c>
      <c r="D20" s="46">
        <f t="shared" si="3"/>
        <v>440772.26763565897</v>
      </c>
      <c r="E20" s="46">
        <f t="shared" si="3"/>
        <v>1743303.2532101381</v>
      </c>
      <c r="F20" s="46">
        <f t="shared" si="3"/>
        <v>4329939.0943844113</v>
      </c>
      <c r="G20" s="46">
        <f t="shared" si="3"/>
        <v>8521258.6776004527</v>
      </c>
      <c r="H20" s="46">
        <f t="shared" si="3"/>
        <v>14372378.177461933</v>
      </c>
      <c r="I20" s="46">
        <f t="shared" si="3"/>
        <v>20940262.738236256</v>
      </c>
      <c r="J20" s="46">
        <f t="shared" si="3"/>
        <v>27265422.257068209</v>
      </c>
      <c r="K20" s="46">
        <f t="shared" si="3"/>
        <v>31985041.56907789</v>
      </c>
      <c r="L20" s="46">
        <f t="shared" si="3"/>
        <v>37884320.545962445</v>
      </c>
    </row>
    <row r="22" spans="1:12">
      <c r="A22" s="7" t="s">
        <v>307</v>
      </c>
      <c r="B22" s="8"/>
      <c r="C22" s="8"/>
      <c r="D22" s="8"/>
      <c r="E22" s="8"/>
      <c r="F22" s="8"/>
      <c r="G22" s="8"/>
      <c r="H22" s="8"/>
      <c r="I22" s="8"/>
      <c r="J22" s="8"/>
      <c r="K22" s="8"/>
      <c r="L22" s="8"/>
    </row>
    <row r="23" spans="1:12">
      <c r="A23" s="9" t="s">
        <v>308</v>
      </c>
      <c r="B23" s="10" t="s">
        <v>309</v>
      </c>
      <c r="C23" s="22">
        <f>C9*Assumptions!C40</f>
        <v>0</v>
      </c>
      <c r="D23" s="22">
        <f>D9*Assumptions!D40</f>
        <v>51249.640145348843</v>
      </c>
      <c r="E23" s="22">
        <f>E9*Assumptions!E40</f>
        <v>184301.8879815207</v>
      </c>
      <c r="F23" s="22">
        <f>F9*Assumptions!F40</f>
        <v>395885.62415766175</v>
      </c>
      <c r="G23" s="22">
        <f>G9*Assumptions!G40</f>
        <v>683807.20164006785</v>
      </c>
      <c r="H23" s="22">
        <f>H9*Assumptions!H40</f>
        <v>1034255.7266192902</v>
      </c>
      <c r="I23" s="22">
        <f>I9*Assumptions!I40</f>
        <v>1435957.0107354384</v>
      </c>
      <c r="J23" s="22">
        <f>J9*Assumptions!J40</f>
        <v>1816033.1785602311</v>
      </c>
      <c r="K23" s="22">
        <f>K9*Assumptions!K40</f>
        <v>2148624.7453616834</v>
      </c>
      <c r="L23" s="22">
        <f>L9*Assumptions!L40</f>
        <v>2427256.8818943664</v>
      </c>
    </row>
    <row r="24" spans="1:12">
      <c r="A24" s="9" t="s">
        <v>310</v>
      </c>
      <c r="B24" s="10"/>
      <c r="C24" s="47">
        <f t="shared" ref="C24:L24" si="4">C15*C19</f>
        <v>1609.0800000000006</v>
      </c>
      <c r="D24" s="47">
        <f t="shared" si="4"/>
        <v>9189.2937600000005</v>
      </c>
      <c r="E24" s="47">
        <f t="shared" si="4"/>
        <v>46161.910033066662</v>
      </c>
      <c r="F24" s="47">
        <f t="shared" si="4"/>
        <v>149093.73160191998</v>
      </c>
      <c r="G24" s="47">
        <f t="shared" si="4"/>
        <v>345702.90534399997</v>
      </c>
      <c r="H24" s="47">
        <f t="shared" si="4"/>
        <v>649152.74943999993</v>
      </c>
      <c r="I24" s="47">
        <f t="shared" si="4"/>
        <v>982006.21209599986</v>
      </c>
      <c r="J24" s="47">
        <f t="shared" si="4"/>
        <v>1304684.9501183999</v>
      </c>
      <c r="K24" s="47">
        <f t="shared" si="4"/>
        <v>1515350.3079509335</v>
      </c>
      <c r="L24" s="47">
        <f t="shared" si="4"/>
        <v>1857511.7503146671</v>
      </c>
    </row>
    <row r="25" spans="1:12">
      <c r="A25" s="9" t="s">
        <v>311</v>
      </c>
      <c r="B25" s="10" t="s">
        <v>312</v>
      </c>
      <c r="C25" s="22">
        <f>Drivers!C48*Assumptions!C36*12</f>
        <v>537.29999999999995</v>
      </c>
      <c r="D25" s="22">
        <f>Drivers!D48*Assumptions!D36*12</f>
        <v>7934.85</v>
      </c>
      <c r="E25" s="22">
        <f>Drivers!E48*Assumptions!E36*12</f>
        <v>56355</v>
      </c>
      <c r="F25" s="22">
        <f>Drivers!F48*Assumptions!F36*12</f>
        <v>158688</v>
      </c>
      <c r="G25" s="22">
        <f>Drivers!G48*Assumptions!G36*12</f>
        <v>291840</v>
      </c>
      <c r="H25" s="22">
        <f>Drivers!H48*Assumptions!H36*12</f>
        <v>440640</v>
      </c>
      <c r="I25" s="22">
        <f>Drivers!I48*Assumptions!I36*12</f>
        <v>595200</v>
      </c>
      <c r="J25" s="22">
        <f>Drivers!J48*Assumptions!J36*12</f>
        <v>732720</v>
      </c>
      <c r="K25" s="22">
        <f>Drivers!K48*Assumptions!K36*12</f>
        <v>862680</v>
      </c>
      <c r="L25" s="22">
        <f>Drivers!L48*Assumptions!L36*12</f>
        <v>969000</v>
      </c>
    </row>
    <row r="26" spans="1:12">
      <c r="A26" s="45" t="s">
        <v>313</v>
      </c>
      <c r="B26" s="37"/>
      <c r="C26" s="46">
        <f t="shared" ref="C26:L26" si="5">SUM(C23:C25)</f>
        <v>2146.3800000000006</v>
      </c>
      <c r="D26" s="46">
        <f t="shared" si="5"/>
        <v>68373.783905348842</v>
      </c>
      <c r="E26" s="46">
        <f t="shared" si="5"/>
        <v>286818.79801458737</v>
      </c>
      <c r="F26" s="46">
        <f t="shared" si="5"/>
        <v>703667.35575958178</v>
      </c>
      <c r="G26" s="46">
        <f t="shared" si="5"/>
        <v>1321350.1069840677</v>
      </c>
      <c r="H26" s="46">
        <f t="shared" si="5"/>
        <v>2124048.4760592901</v>
      </c>
      <c r="I26" s="46">
        <f t="shared" si="5"/>
        <v>3013163.2228314383</v>
      </c>
      <c r="J26" s="46">
        <f t="shared" si="5"/>
        <v>3853438.128678631</v>
      </c>
      <c r="K26" s="46">
        <f t="shared" si="5"/>
        <v>4526655.0533126164</v>
      </c>
      <c r="L26" s="46">
        <f t="shared" si="5"/>
        <v>5253768.6322090337</v>
      </c>
    </row>
    <row r="27" spans="1:12">
      <c r="A27" s="9" t="s">
        <v>314</v>
      </c>
      <c r="B27" s="10" t="s">
        <v>315</v>
      </c>
      <c r="C27" s="48" t="str">
        <f>IF(1=1,"",C26/C26-1)</f>
        <v/>
      </c>
      <c r="D27" s="48">
        <f>IF(2=1,"",D26/C26-1)</f>
        <v>30.855395552208286</v>
      </c>
      <c r="E27" s="48">
        <f>IF(3=1,"",E26/D26-1)</f>
        <v>3.1948650730174037</v>
      </c>
      <c r="F27" s="48">
        <f>IF(4=1,"",F26/E26-1)</f>
        <v>1.4533515956084364</v>
      </c>
      <c r="G27" s="48">
        <f>IF(5=1,"",G26/F26-1)</f>
        <v>0.87780503979429492</v>
      </c>
      <c r="H27" s="48">
        <f>IF(6=1,"",H26/G26-1)</f>
        <v>0.60748348589258572</v>
      </c>
      <c r="I27" s="48">
        <f>IF(7=1,"",I26/H26-1)</f>
        <v>0.41859437616118211</v>
      </c>
      <c r="J27" s="48">
        <f>IF(8=1,"",J26/I26-1)</f>
        <v>0.27886803458911036</v>
      </c>
      <c r="K27" s="48">
        <f>IF(9=1,"",K26/J26-1)</f>
        <v>0.17470552326341249</v>
      </c>
      <c r="L27" s="48">
        <f>IF(10=1,"",L26/K26-1)</f>
        <v>0.16062933232880505</v>
      </c>
    </row>
    <row r="28" spans="1:12">
      <c r="A28" s="9" t="s">
        <v>316</v>
      </c>
      <c r="B28" s="10" t="s">
        <v>317</v>
      </c>
      <c r="C28" s="48">
        <f t="shared" ref="C28:L28" si="6">C26/C20</f>
        <v>0.12805608173614738</v>
      </c>
      <c r="D28" s="48">
        <f t="shared" si="6"/>
        <v>0.15512269923902383</v>
      </c>
      <c r="E28" s="48">
        <f t="shared" si="6"/>
        <v>0.16452604989202885</v>
      </c>
      <c r="F28" s="48">
        <f t="shared" si="6"/>
        <v>0.16251206781919467</v>
      </c>
      <c r="G28" s="48">
        <f t="shared" si="6"/>
        <v>0.15506513262617605</v>
      </c>
      <c r="H28" s="48">
        <f t="shared" si="6"/>
        <v>0.14778684848344165</v>
      </c>
      <c r="I28" s="48">
        <f t="shared" si="6"/>
        <v>0.14389328636882373</v>
      </c>
      <c r="J28" s="48">
        <f t="shared" si="6"/>
        <v>0.14133058686372177</v>
      </c>
      <c r="K28" s="48">
        <f t="shared" si="6"/>
        <v>0.14152412600547754</v>
      </c>
      <c r="L28" s="48">
        <f t="shared" si="6"/>
        <v>0.13867923606640897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5"/>
  <sheetViews>
    <sheetView workbookViewId="0">
      <pane xSplit="2" ySplit="2" topLeftCell="C3" activePane="bottomRight" state="frozen"/>
      <selection pane="bottomRight"/>
      <selection pane="bottomLeft"/>
      <selection pane="topRight"/>
    </sheetView>
  </sheetViews>
  <sheetFormatPr defaultRowHeight="14.45"/>
  <cols>
    <col min="1" max="1" width="44" customWidth="1"/>
    <col min="2" max="2" width="15" customWidth="1"/>
    <col min="3" max="12" width="13" customWidth="1"/>
  </cols>
  <sheetData>
    <row r="1" spans="1:12" ht="17.100000000000001">
      <c r="A1" s="1" t="s">
        <v>24</v>
      </c>
    </row>
    <row r="2" spans="1:12">
      <c r="A2" s="5" t="s">
        <v>54</v>
      </c>
      <c r="B2" s="5" t="s">
        <v>55</v>
      </c>
      <c r="C2" s="6" t="s">
        <v>56</v>
      </c>
      <c r="D2" s="6" t="s">
        <v>57</v>
      </c>
      <c r="E2" s="6" t="s">
        <v>58</v>
      </c>
      <c r="F2" s="6" t="s">
        <v>59</v>
      </c>
      <c r="G2" s="6" t="s">
        <v>60</v>
      </c>
      <c r="H2" s="6" t="s">
        <v>61</v>
      </c>
      <c r="I2" s="6" t="s">
        <v>62</v>
      </c>
      <c r="J2" s="6" t="s">
        <v>63</v>
      </c>
      <c r="K2" s="6" t="s">
        <v>64</v>
      </c>
      <c r="L2" s="6" t="s">
        <v>65</v>
      </c>
    </row>
    <row r="4" spans="1:12">
      <c r="A4" s="7" t="s">
        <v>318</v>
      </c>
      <c r="B4" s="8"/>
      <c r="C4" s="8"/>
      <c r="D4" s="8"/>
      <c r="E4" s="8"/>
      <c r="F4" s="8"/>
      <c r="G4" s="8"/>
      <c r="H4" s="8"/>
      <c r="I4" s="8"/>
      <c r="J4" s="8"/>
      <c r="K4" s="8"/>
      <c r="L4" s="8"/>
    </row>
    <row r="5" spans="1:12">
      <c r="A5" s="9" t="s">
        <v>319</v>
      </c>
      <c r="B5" s="10" t="s">
        <v>320</v>
      </c>
      <c r="C5" s="13">
        <f>Revenue!C10/Assumptions!C54</f>
        <v>0</v>
      </c>
      <c r="D5" s="13">
        <f>Revenue!D10/Assumptions!D54</f>
        <v>44936.278678168193</v>
      </c>
      <c r="E5" s="13">
        <f>Revenue!E10/Assumptions!E54</f>
        <v>161598.03221568119</v>
      </c>
      <c r="F5" s="13">
        <f>Revenue!F10/Assumptions!F54</f>
        <v>347117.10523968894</v>
      </c>
      <c r="G5" s="13">
        <f>Revenue!G10/Assumptions!G54</f>
        <v>599570.08259745082</v>
      </c>
      <c r="H5" s="13">
        <f>Revenue!H10/Assumptions!H54</f>
        <v>906847.41247053724</v>
      </c>
      <c r="I5" s="13">
        <f>Revenue!I10/Assumptions!I54</f>
        <v>1259063.7557897686</v>
      </c>
      <c r="J5" s="13">
        <f>Revenue!J10/Assumptions!J54</f>
        <v>1592318.9464187534</v>
      </c>
      <c r="K5" s="13">
        <f>Revenue!K10/Assumptions!K54</f>
        <v>1883939.0883243745</v>
      </c>
      <c r="L5" s="13">
        <f>Revenue!L10/Assumptions!L54</f>
        <v>2128246.9761537565</v>
      </c>
    </row>
    <row r="6" spans="1:12">
      <c r="A6" s="9" t="s">
        <v>321</v>
      </c>
      <c r="B6" s="10" t="s">
        <v>68</v>
      </c>
      <c r="C6" s="13">
        <f>Revenue!C15/Assumptions!C55</f>
        <v>9.3118055555555568</v>
      </c>
      <c r="D6" s="13">
        <f>Revenue!D15/Assumptions!D55</f>
        <v>55.06</v>
      </c>
      <c r="E6" s="13">
        <f>Revenue!E15/Assumptions!E55</f>
        <v>285.90222222222224</v>
      </c>
      <c r="F6" s="13">
        <f>Revenue!F15/Assumptions!F55</f>
        <v>939.27866666666648</v>
      </c>
      <c r="G6" s="13">
        <f>Revenue!G15/Assumptions!G55</f>
        <v>2201.4133333333334</v>
      </c>
      <c r="H6" s="13">
        <f>Revenue!H15/Assumptions!H55</f>
        <v>4154.0777777777776</v>
      </c>
      <c r="I6" s="13">
        <f>Revenue!I15/Assumptions!I55</f>
        <v>6315.119999999999</v>
      </c>
      <c r="J6" s="13">
        <f>Revenue!J15/Assumptions!J55</f>
        <v>8421.4079999999994</v>
      </c>
      <c r="K6" s="13">
        <f>Revenue!K15/Assumptions!K55</f>
        <v>9811.5981111111123</v>
      </c>
      <c r="L6" s="13">
        <f>Revenue!L15/Assumptions!L55</f>
        <v>12057.004444444447</v>
      </c>
    </row>
    <row r="7" spans="1:12">
      <c r="A7" s="9" t="s">
        <v>322</v>
      </c>
      <c r="B7" s="10" t="s">
        <v>323</v>
      </c>
      <c r="C7" s="22">
        <f>(Revenue!C10+Revenue!C15)*Assumptions!C50+(C5+C6)*Assumptions!C51</f>
        <v>320.79170138888895</v>
      </c>
      <c r="D7" s="22">
        <f>(Revenue!D10+Revenue!D15)*Assumptions!D50+(D5+D6)*Assumptions!D51</f>
        <v>20985.748182485848</v>
      </c>
      <c r="E7" s="22">
        <f>(Revenue!E10+Revenue!E15)*Assumptions!E50+(E5+E6)*Assumptions!E51</f>
        <v>78496.175640776928</v>
      </c>
      <c r="F7" s="22">
        <f>(Revenue!F10+Revenue!F15)*Assumptions!F50+(F5+F6)*Assumptions!F51</f>
        <v>179813.49637248652</v>
      </c>
      <c r="G7" s="22">
        <f>(Revenue!G10+Revenue!G15)*Assumptions!G50+(G5+G6)*Assumptions!G51</f>
        <v>330536.06042073038</v>
      </c>
      <c r="H7" s="22">
        <f>(Revenue!H10+Revenue!H15)*Assumptions!H50+(H5+H6)*Assumptions!H51</f>
        <v>528336.76026192866</v>
      </c>
      <c r="I7" s="22">
        <f>(Revenue!I10+Revenue!I15)*Assumptions!I50+(I5+I6)*Assumptions!I51</f>
        <v>752406.16745949374</v>
      </c>
      <c r="J7" s="22">
        <f>(Revenue!J10+Revenue!J15)*Assumptions!J50+(J5+J6)*Assumptions!J51</f>
        <v>966534.59403868648</v>
      </c>
      <c r="K7" s="22">
        <f>(Revenue!K10+Revenue!K15)*Assumptions!K50+(K5+K6)*Assumptions!K51</f>
        <v>1138306.8796479721</v>
      </c>
      <c r="L7" s="22">
        <f>(Revenue!L10+Revenue!L15)*Assumptions!L50+(L5+L6)*Assumptions!L51</f>
        <v>1319443.118581227</v>
      </c>
    </row>
    <row r="8" spans="1:12">
      <c r="A8" s="9" t="s">
        <v>324</v>
      </c>
      <c r="B8" s="10" t="s">
        <v>325</v>
      </c>
      <c r="C8" s="22">
        <f>(Revenue!C10+Revenue!C15)*Assumptions!C52+(C5/30+C6)*Assumptions!C53</f>
        <v>44.231076388888901</v>
      </c>
      <c r="D8" s="22">
        <f>(Revenue!D10+Revenue!D15)*Assumptions!D52+(D5/30+D6)*Assumptions!D53</f>
        <v>1669.5383985826033</v>
      </c>
      <c r="E8" s="22">
        <f>(Revenue!E10+Revenue!E15)*Assumptions!E52+(E5/30+E6)*Assumptions!E53</f>
        <v>6421.4405649802329</v>
      </c>
      <c r="F8" s="22">
        <f>(Revenue!F10+Revenue!F15)*Assumptions!F52+(F5/30+F6)*Assumptions!F53</f>
        <v>15337.909630843584</v>
      </c>
      <c r="G8" s="22">
        <f>(Revenue!G10+Revenue!G15)*Assumptions!G52+(G5/30+G6)*Assumptions!G53</f>
        <v>29243.242588053457</v>
      </c>
      <c r="H8" s="22">
        <f>(Revenue!H10+Revenue!H15)*Assumptions!H52+(H5/30+H6)*Assumptions!H53</f>
        <v>48146.421701854604</v>
      </c>
      <c r="I8" s="22">
        <f>(Revenue!I10+Revenue!I15)*Assumptions!I52+(I5/30+I6)*Assumptions!I53</f>
        <v>69447.484348079422</v>
      </c>
      <c r="J8" s="22">
        <f>(Revenue!J10+Revenue!J15)*Assumptions!J52+(J5/30+J6)*Assumptions!J53</f>
        <v>89894.348321120939</v>
      </c>
      <c r="K8" s="22">
        <f>(Revenue!K10+Revenue!K15)*Assumptions!K52+(K5/30+K6)*Assumptions!K53</f>
        <v>105635.1824619415</v>
      </c>
      <c r="L8" s="22">
        <f>(Revenue!L10+Revenue!L15)*Assumptions!L52+(L5/30+L6)*Assumptions!L53</f>
        <v>123955.8430305955</v>
      </c>
    </row>
    <row r="9" spans="1:12">
      <c r="A9" s="9" t="s">
        <v>326</v>
      </c>
      <c r="B9" s="10" t="s">
        <v>327</v>
      </c>
      <c r="C9" s="13">
        <f>Drivers!C39*Assumptions!C59*12</f>
        <v>0</v>
      </c>
      <c r="D9" s="13">
        <f>Drivers!D39*Assumptions!D59*12</f>
        <v>66848.564458205597</v>
      </c>
      <c r="E9" s="13">
        <f>Drivers!E39*Assumptions!E59*12</f>
        <v>234234.83283032727</v>
      </c>
      <c r="F9" s="13">
        <f>Drivers!F39*Assumptions!F59*12</f>
        <v>497800.50577558123</v>
      </c>
      <c r="G9" s="13">
        <f>Drivers!G39*Assumptions!G59*12</f>
        <v>852426.05646715814</v>
      </c>
      <c r="H9" s="13">
        <f>Drivers!H39*Assumptions!H59*12</f>
        <v>1292373.9836433316</v>
      </c>
      <c r="I9" s="13">
        <f>Drivers!I39*Assumptions!I59*12</f>
        <v>1790954.3887111915</v>
      </c>
      <c r="J9" s="13">
        <f>Drivers!J39*Assumptions!J59*12</f>
        <v>2250235.1112447502</v>
      </c>
      <c r="K9" s="13">
        <f>Drivers!K39*Assumptions!K59*12</f>
        <v>2637876.7606205489</v>
      </c>
      <c r="L9" s="13">
        <f>Drivers!L39*Assumptions!L59*12</f>
        <v>2949990.3283855431</v>
      </c>
    </row>
    <row r="10" spans="1:12">
      <c r="A10" s="9" t="s">
        <v>328</v>
      </c>
      <c r="B10" s="10" t="s">
        <v>329</v>
      </c>
      <c r="C10" s="22">
        <f>Assumptions!C58*12+C9*Assumptions!C60</f>
        <v>1800</v>
      </c>
      <c r="D10" s="22">
        <f>Assumptions!D58*12+D9*Assumptions!D60</f>
        <v>5574.7885156656448</v>
      </c>
      <c r="E10" s="22">
        <f>Assumptions!E58*12+E9*Assumptions!E60</f>
        <v>13873.878662642619</v>
      </c>
      <c r="F10" s="22">
        <f>Assumptions!F58*12+F9*Assumptions!F60</f>
        <v>27982.404046204651</v>
      </c>
      <c r="G10" s="22">
        <f>Assumptions!G58*12+G9*Assumptions!G60</f>
        <v>45219.408451737268</v>
      </c>
      <c r="H10" s="22">
        <f>Assumptions!H58*12+H9*Assumptions!H60</f>
        <v>61938.991869146652</v>
      </c>
      <c r="I10" s="22">
        <f>Assumptions!I58*12+I9*Assumptions!I60</f>
        <v>77927.635109689538</v>
      </c>
      <c r="J10" s="22">
        <f>Assumptions!J58*12+J9*Assumptions!J60</f>
        <v>92401.880889958004</v>
      </c>
      <c r="K10" s="22">
        <f>Assumptions!K58*12+K9*Assumptions!K60</f>
        <v>105103.01408496439</v>
      </c>
      <c r="L10" s="22">
        <f>Assumptions!L58*12+L9*Assumptions!L60</f>
        <v>117199.92262708435</v>
      </c>
    </row>
    <row r="11" spans="1:12">
      <c r="A11" s="9" t="s">
        <v>330</v>
      </c>
      <c r="B11" s="10" t="s">
        <v>331</v>
      </c>
      <c r="C11" s="22">
        <f>Assumptions!C58*12+C9*Assumptions!C61</f>
        <v>1800</v>
      </c>
      <c r="D11" s="22">
        <f>Assumptions!D58*12+D9*Assumptions!D61</f>
        <v>10053.642334365421</v>
      </c>
      <c r="E11" s="22">
        <f>Assumptions!E58*12+E9*Assumptions!E61</f>
        <v>29567.612462274545</v>
      </c>
      <c r="F11" s="22">
        <f>Assumptions!F58*12+F9*Assumptions!F61</f>
        <v>61335.037933168591</v>
      </c>
      <c r="G11" s="22">
        <f>Assumptions!G58*12+G9*Assumptions!G61</f>
        <v>102331.95423503686</v>
      </c>
      <c r="H11" s="22">
        <f>Assumptions!H58*12+H9*Assumptions!H61</f>
        <v>148528.04877324984</v>
      </c>
      <c r="I11" s="22">
        <f>Assumptions!I58*12+I9*Assumptions!I61</f>
        <v>197921.57915333935</v>
      </c>
      <c r="J11" s="22">
        <f>Assumptions!J58*12+J9*Assumptions!J61</f>
        <v>243167.63334335625</v>
      </c>
      <c r="K11" s="22">
        <f>Assumptions!K58*12+K9*Assumptions!K61</f>
        <v>281840.7570465412</v>
      </c>
      <c r="L11" s="22">
        <f>Assumptions!L58*12+L9*Assumptions!L61</f>
        <v>314849.27462891571</v>
      </c>
    </row>
    <row r="12" spans="1:12">
      <c r="A12" s="9" t="s">
        <v>332</v>
      </c>
      <c r="B12" s="10" t="s">
        <v>333</v>
      </c>
      <c r="C12" s="22">
        <f>Drivers!C5*Assumptions!C63*12/1000*Assumptions!C62</f>
        <v>792</v>
      </c>
      <c r="D12" s="22">
        <f>Drivers!D5*Assumptions!D63*12/1000*Assumptions!D62</f>
        <v>2376</v>
      </c>
      <c r="E12" s="22">
        <f>Drivers!E5*Assumptions!E63*12/1000*Assumptions!E62</f>
        <v>5385.6</v>
      </c>
      <c r="F12" s="22">
        <f>Drivers!F5*Assumptions!F63*12/1000*Assumptions!F62</f>
        <v>8870.4</v>
      </c>
      <c r="G12" s="22">
        <f>Drivers!G5*Assumptions!G63*12/1000*Assumptions!G62</f>
        <v>12672</v>
      </c>
      <c r="H12" s="22">
        <f>Drivers!H5*Assumptions!H63*12/1000*Assumptions!H62</f>
        <v>16473.599999999999</v>
      </c>
      <c r="I12" s="22">
        <f>Drivers!I5*Assumptions!I63*12/1000*Assumptions!I62</f>
        <v>19958.400000000001</v>
      </c>
      <c r="J12" s="22">
        <f>Drivers!J5*Assumptions!J63*12/1000*Assumptions!J62</f>
        <v>22809.599999999999</v>
      </c>
      <c r="K12" s="22">
        <f>Drivers!K5*Assumptions!K63*12/1000*Assumptions!K62</f>
        <v>25027.199999999997</v>
      </c>
      <c r="L12" s="22">
        <f>Drivers!L5*Assumptions!L63*12/1000*Assumptions!L62</f>
        <v>26928</v>
      </c>
    </row>
    <row r="13" spans="1:12">
      <c r="A13" s="9" t="s">
        <v>334</v>
      </c>
      <c r="B13" s="10" t="s">
        <v>335</v>
      </c>
      <c r="C13" s="22">
        <f>Drivers!C55*Assumptions!C103/60*(Assumptions!C67/Assumptions!C104)</f>
        <v>465.68627450980387</v>
      </c>
      <c r="D13" s="22">
        <f>Drivers!D55*Assumptions!D103/60*(Assumptions!D67/Assumptions!D104)</f>
        <v>1251.2117647058819</v>
      </c>
      <c r="E13" s="22">
        <f>Drivers!E55*Assumptions!E103/60*(Assumptions!E67/Assumptions!E104)</f>
        <v>2517.9256470588234</v>
      </c>
      <c r="F13" s="22">
        <f>Drivers!F55*Assumptions!F103/60*(Assumptions!F67/Assumptions!F104)</f>
        <v>3193.2737254901958</v>
      </c>
      <c r="G13" s="22">
        <f>Drivers!G55*Assumptions!G103/60*(Assumptions!G67/Assumptions!G104)</f>
        <v>3707.495034055727</v>
      </c>
      <c r="H13" s="22">
        <f>Drivers!H55*Assumptions!H103/60*(Assumptions!H67/Assumptions!H104)</f>
        <v>4093.7986892655358</v>
      </c>
      <c r="I13" s="22">
        <f>Drivers!I55*Assumptions!I103/60*(Assumptions!I67/Assumptions!I104)</f>
        <v>4248.9077467052402</v>
      </c>
      <c r="J13" s="22">
        <f>Drivers!J55*Assumptions!J103/60*(Assumptions!J67/Assumptions!J104)</f>
        <v>4211.8344136622391</v>
      </c>
      <c r="K13" s="22">
        <f>Drivers!K55*Assumptions!K103/60*(Assumptions!K67/Assumptions!K104)</f>
        <v>4127.768918767506</v>
      </c>
      <c r="L13" s="22">
        <f>Drivers!L55*Assumptions!L103/60*(Assumptions!L67/Assumptions!L104)</f>
        <v>4172.215666265246</v>
      </c>
    </row>
    <row r="14" spans="1:12">
      <c r="A14" s="45" t="s">
        <v>336</v>
      </c>
      <c r="B14" s="37"/>
      <c r="C14" s="46">
        <f t="shared" ref="C14:L14" si="0">C7+C8+C10+C12+C13</f>
        <v>3422.7090522875815</v>
      </c>
      <c r="D14" s="46">
        <f t="shared" si="0"/>
        <v>31857.286861439978</v>
      </c>
      <c r="E14" s="46">
        <f t="shared" si="0"/>
        <v>106695.02051545861</v>
      </c>
      <c r="F14" s="46">
        <f t="shared" si="0"/>
        <v>235197.48377502494</v>
      </c>
      <c r="G14" s="46">
        <f t="shared" si="0"/>
        <v>421378.20649457682</v>
      </c>
      <c r="H14" s="46">
        <f t="shared" si="0"/>
        <v>658989.57252219541</v>
      </c>
      <c r="I14" s="46">
        <f t="shared" si="0"/>
        <v>923988.59466396796</v>
      </c>
      <c r="J14" s="46">
        <f t="shared" si="0"/>
        <v>1175852.2576634279</v>
      </c>
      <c r="K14" s="46">
        <f t="shared" si="0"/>
        <v>1378200.0451136455</v>
      </c>
      <c r="L14" s="46">
        <f t="shared" si="0"/>
        <v>1591699.0999051721</v>
      </c>
    </row>
    <row r="16" spans="1:12">
      <c r="A16" s="7" t="s">
        <v>337</v>
      </c>
      <c r="B16" s="8"/>
      <c r="C16" s="8"/>
      <c r="D16" s="8"/>
      <c r="E16" s="8"/>
      <c r="F16" s="8"/>
      <c r="G16" s="8"/>
      <c r="H16" s="8"/>
      <c r="I16" s="8"/>
      <c r="J16" s="8"/>
      <c r="K16" s="8"/>
      <c r="L16" s="8"/>
    </row>
    <row r="17" spans="1:12">
      <c r="A17" s="9" t="s">
        <v>338</v>
      </c>
      <c r="B17" s="10" t="s">
        <v>339</v>
      </c>
      <c r="C17" s="22">
        <f>Assumptions!C66*Assumptions!C67</f>
        <v>38000</v>
      </c>
      <c r="D17" s="22">
        <f>Assumptions!D66*Assumptions!D67</f>
        <v>78000</v>
      </c>
      <c r="E17" s="22">
        <f>Assumptions!E66*Assumptions!E67</f>
        <v>90000</v>
      </c>
      <c r="F17" s="22">
        <f>Assumptions!F66*Assumptions!F67</f>
        <v>128000</v>
      </c>
      <c r="G17" s="22">
        <f>Assumptions!G66*Assumptions!G67</f>
        <v>264000</v>
      </c>
      <c r="H17" s="22">
        <f>Assumptions!H66*Assumptions!H67</f>
        <v>476000</v>
      </c>
      <c r="I17" s="22">
        <f>Assumptions!I66*Assumptions!I67</f>
        <v>700000</v>
      </c>
      <c r="J17" s="22">
        <f>Assumptions!J66*Assumptions!J67</f>
        <v>900000</v>
      </c>
      <c r="K17" s="22">
        <f>Assumptions!K66*Assumptions!K67</f>
        <v>1073000</v>
      </c>
      <c r="L17" s="22">
        <f>Assumptions!L66*Assumptions!L67</f>
        <v>1216000</v>
      </c>
    </row>
    <row r="18" spans="1:12">
      <c r="A18" s="9" t="s">
        <v>340</v>
      </c>
      <c r="B18" s="10" t="s">
        <v>341</v>
      </c>
      <c r="C18" s="22">
        <f>Drivers!C11*Assumptions!C19</f>
        <v>3800</v>
      </c>
      <c r="D18" s="22">
        <f>Drivers!D11*Assumptions!D19</f>
        <v>9299.25</v>
      </c>
      <c r="E18" s="22">
        <f>Drivers!E11*Assumptions!E19</f>
        <v>17547.600000000002</v>
      </c>
      <c r="F18" s="22">
        <f>Drivers!F11*Assumptions!F19</f>
        <v>20236.800000000007</v>
      </c>
      <c r="G18" s="22">
        <f>Drivers!G11*Assumptions!G19</f>
        <v>21513.599999999995</v>
      </c>
      <c r="H18" s="22">
        <f>Drivers!H11*Assumptions!H19</f>
        <v>21624</v>
      </c>
      <c r="I18" s="22">
        <f>Drivers!I11*Assumptions!I19</f>
        <v>22496</v>
      </c>
      <c r="J18" s="22">
        <f>Drivers!J11*Assumptions!J19</f>
        <v>25260.300000000003</v>
      </c>
      <c r="K18" s="22">
        <f>Drivers!K11*Assumptions!K19</f>
        <v>25107.600000000002</v>
      </c>
      <c r="L18" s="22">
        <f>Drivers!L11*Assumptions!L19</f>
        <v>25123.68</v>
      </c>
    </row>
    <row r="19" spans="1:12">
      <c r="A19" s="9" t="s">
        <v>342</v>
      </c>
      <c r="B19" s="10"/>
      <c r="C19" s="22">
        <f>Drivers!C25*Assumptions!C31</f>
        <v>500</v>
      </c>
      <c r="D19" s="22">
        <f>Drivers!D25*Assumptions!D31</f>
        <v>2369</v>
      </c>
      <c r="E19" s="22">
        <f>Drivers!E25*Assumptions!E31</f>
        <v>15794</v>
      </c>
      <c r="F19" s="22">
        <f>Drivers!F25*Assumptions!F31</f>
        <v>38867.999999999985</v>
      </c>
      <c r="G19" s="22">
        <f>Drivers!G25*Assumptions!G31</f>
        <v>67536.000000000015</v>
      </c>
      <c r="H19" s="22">
        <f>Drivers!H25*Assumptions!H31</f>
        <v>95367.200000000012</v>
      </c>
      <c r="I19" s="22">
        <f>Drivers!I25*Assumptions!I31</f>
        <v>112086</v>
      </c>
      <c r="J19" s="22">
        <f>Drivers!J25*Assumptions!J31</f>
        <v>112065.3</v>
      </c>
      <c r="K19" s="22">
        <f>Drivers!K25*Assumptions!K31</f>
        <v>113886.39999999999</v>
      </c>
      <c r="L19" s="22">
        <f>Drivers!L25*Assumptions!L31</f>
        <v>118747.20000000001</v>
      </c>
    </row>
    <row r="20" spans="1:12">
      <c r="A20" s="9" t="s">
        <v>343</v>
      </c>
      <c r="B20" s="10"/>
      <c r="C20" s="22">
        <f>Drivers!C49*Assumptions!C37</f>
        <v>16200</v>
      </c>
      <c r="D20" s="22">
        <f>Drivers!D49*Assumptions!D37</f>
        <v>38850</v>
      </c>
      <c r="E20" s="22">
        <f>Drivers!E49*Assumptions!E37</f>
        <v>84000</v>
      </c>
      <c r="F20" s="22">
        <f>Drivers!F49*Assumptions!F37</f>
        <v>161000</v>
      </c>
      <c r="G20" s="22">
        <f>Drivers!G49*Assumptions!G37</f>
        <v>224000</v>
      </c>
      <c r="H20" s="22">
        <f>Drivers!H49*Assumptions!H37</f>
        <v>227500</v>
      </c>
      <c r="I20" s="22">
        <f>Drivers!I49*Assumptions!I37</f>
        <v>209000</v>
      </c>
      <c r="J20" s="22">
        <f>Drivers!J49*Assumptions!J37</f>
        <v>180000</v>
      </c>
      <c r="K20" s="22">
        <f>Drivers!K49*Assumptions!K37</f>
        <v>168000</v>
      </c>
      <c r="L20" s="22">
        <f>Drivers!L49*Assumptions!L37</f>
        <v>132000</v>
      </c>
    </row>
    <row r="21" spans="1:12">
      <c r="A21" s="36" t="s">
        <v>344</v>
      </c>
      <c r="B21" s="37"/>
      <c r="C21" s="43">
        <f t="shared" ref="C21:L21" si="1">SUM(C18:C20)</f>
        <v>20500</v>
      </c>
      <c r="D21" s="43">
        <f t="shared" si="1"/>
        <v>50518.25</v>
      </c>
      <c r="E21" s="43">
        <f t="shared" si="1"/>
        <v>117341.6</v>
      </c>
      <c r="F21" s="43">
        <f t="shared" si="1"/>
        <v>220104.8</v>
      </c>
      <c r="G21" s="43">
        <f t="shared" si="1"/>
        <v>313049.59999999998</v>
      </c>
      <c r="H21" s="43">
        <f t="shared" si="1"/>
        <v>344491.2</v>
      </c>
      <c r="I21" s="43">
        <f t="shared" si="1"/>
        <v>343582</v>
      </c>
      <c r="J21" s="43">
        <f t="shared" si="1"/>
        <v>317325.59999999998</v>
      </c>
      <c r="K21" s="43">
        <f t="shared" si="1"/>
        <v>306994</v>
      </c>
      <c r="L21" s="43">
        <f t="shared" si="1"/>
        <v>275870.88</v>
      </c>
    </row>
    <row r="22" spans="1:12">
      <c r="A22" s="9" t="s">
        <v>345</v>
      </c>
      <c r="B22" s="10" t="s">
        <v>346</v>
      </c>
      <c r="C22" s="26">
        <f>(C18+C19)/Drivers!C54</f>
        <v>3.44</v>
      </c>
      <c r="D22" s="26">
        <f>(D18+D19)/Drivers!D54</f>
        <v>4.6210891089108923</v>
      </c>
      <c r="E22" s="26">
        <f>(E18+E19)/Drivers!E54</f>
        <v>7.3530345800988037</v>
      </c>
      <c r="F22" s="26">
        <f>(F18+F19)/Drivers!F54</f>
        <v>10.703082494969818</v>
      </c>
      <c r="G22" s="26">
        <f>(G18+G19)/Drivers!G54</f>
        <v>14.062021276595745</v>
      </c>
      <c r="H22" s="26">
        <f>(H18+H19)/Drivers!H54</f>
        <v>17.024666535122339</v>
      </c>
      <c r="I22" s="26">
        <f>(I18+I19)/Drivers!I54</f>
        <v>19.18107943925234</v>
      </c>
      <c r="J22" s="26">
        <f>(J18+J19)/Drivers!J54</f>
        <v>20.179624573378842</v>
      </c>
      <c r="K22" s="26">
        <f>(K18+K19)/Drivers!K54</f>
        <v>21.282865059303912</v>
      </c>
      <c r="L22" s="26">
        <f>(L18+L19)/Drivers!L54</f>
        <v>22.312045445664488</v>
      </c>
    </row>
    <row r="23" spans="1:12">
      <c r="A23" s="9" t="s">
        <v>347</v>
      </c>
      <c r="B23" s="10"/>
      <c r="C23" s="22">
        <f>Assumptions!C69+Assumptions!C70*MAX(0,Assumptions!C66-1)</f>
        <v>3600</v>
      </c>
      <c r="D23" s="22">
        <f>Assumptions!D69+Assumptions!D70*MAX(0,Assumptions!D66-1)</f>
        <v>4050</v>
      </c>
      <c r="E23" s="22">
        <f>Assumptions!E69+Assumptions!E70*MAX(0,Assumptions!E66-1)</f>
        <v>4050</v>
      </c>
      <c r="F23" s="22">
        <f>Assumptions!F69+Assumptions!F70*MAX(0,Assumptions!F66-1)</f>
        <v>4500</v>
      </c>
      <c r="G23" s="22">
        <f>Assumptions!G69+Assumptions!G70*MAX(0,Assumptions!G66-1)</f>
        <v>6300</v>
      </c>
      <c r="H23" s="22">
        <f>Assumptions!H69+Assumptions!H70*MAX(0,Assumptions!H66-1)</f>
        <v>9000</v>
      </c>
      <c r="I23" s="22">
        <f>Assumptions!I69+Assumptions!I70*MAX(0,Assumptions!I66-1)</f>
        <v>11700</v>
      </c>
      <c r="J23" s="22">
        <f>Assumptions!J69+Assumptions!J70*MAX(0,Assumptions!J66-1)</f>
        <v>13950</v>
      </c>
      <c r="K23" s="22">
        <f>Assumptions!K69+Assumptions!K70*MAX(0,Assumptions!K66-1)</f>
        <v>15750</v>
      </c>
      <c r="L23" s="22">
        <f>Assumptions!L69+Assumptions!L70*MAX(0,Assumptions!L66-1)</f>
        <v>17100</v>
      </c>
    </row>
    <row r="24" spans="1:12">
      <c r="A24" s="9" t="s">
        <v>348</v>
      </c>
      <c r="B24" s="10"/>
      <c r="C24" s="22">
        <f>IF(1=1,Assumptions!C71+Assumptions!C72,0)</f>
        <v>10500</v>
      </c>
      <c r="D24" s="22">
        <f>IF(2=1,Assumptions!D71+Assumptions!D72,0)</f>
        <v>0</v>
      </c>
      <c r="E24" s="22">
        <f>IF(3=1,Assumptions!E71+Assumptions!E72,0)</f>
        <v>0</v>
      </c>
      <c r="F24" s="22">
        <f>IF(4=1,Assumptions!F71+Assumptions!F72,0)</f>
        <v>0</v>
      </c>
      <c r="G24" s="22">
        <f>IF(5=1,Assumptions!G71+Assumptions!G72,0)</f>
        <v>0</v>
      </c>
      <c r="H24" s="22">
        <f>IF(6=1,Assumptions!H71+Assumptions!H72,0)</f>
        <v>0</v>
      </c>
      <c r="I24" s="22">
        <f>IF(7=1,Assumptions!I71+Assumptions!I72,0)</f>
        <v>0</v>
      </c>
      <c r="J24" s="22">
        <f>IF(8=1,Assumptions!J71+Assumptions!J72,0)</f>
        <v>0</v>
      </c>
      <c r="K24" s="22">
        <f>IF(9=1,Assumptions!K71+Assumptions!K72,0)</f>
        <v>0</v>
      </c>
      <c r="L24" s="22">
        <f>IF(10=1,Assumptions!L71+Assumptions!L72,0)</f>
        <v>0</v>
      </c>
    </row>
    <row r="25" spans="1:12">
      <c r="A25" s="9" t="s">
        <v>349</v>
      </c>
      <c r="B25" s="10"/>
      <c r="C25" s="22">
        <f>IF(1=1,4000,Assumptions!C73)</f>
        <v>4000</v>
      </c>
      <c r="D25" s="22">
        <f>IF(2=1,4000,Assumptions!D73)</f>
        <v>2500</v>
      </c>
      <c r="E25" s="22">
        <f>IF(3=1,4000,Assumptions!E73)</f>
        <v>2500</v>
      </c>
      <c r="F25" s="22">
        <f>IF(4=1,4000,Assumptions!F73)</f>
        <v>2500</v>
      </c>
      <c r="G25" s="22">
        <f>IF(5=1,4000,Assumptions!G73)</f>
        <v>2500</v>
      </c>
      <c r="H25" s="22">
        <f>IF(6=1,4000,Assumptions!H73)</f>
        <v>2500</v>
      </c>
      <c r="I25" s="22">
        <f>IF(7=1,4000,Assumptions!I73)</f>
        <v>2500</v>
      </c>
      <c r="J25" s="22">
        <f>IF(8=1,4000,Assumptions!J73)</f>
        <v>2500</v>
      </c>
      <c r="K25" s="22">
        <f>IF(9=1,4000,Assumptions!K73)</f>
        <v>2500</v>
      </c>
      <c r="L25" s="22">
        <f>IF(10=1,4000,Assumptions!L73)</f>
        <v>2500</v>
      </c>
    </row>
    <row r="26" spans="1:12">
      <c r="A26" s="9" t="s">
        <v>350</v>
      </c>
      <c r="B26" s="10"/>
      <c r="C26" s="22">
        <f>Assumptions!C74</f>
        <v>0</v>
      </c>
      <c r="D26" s="22">
        <f>Assumptions!D74</f>
        <v>6000</v>
      </c>
      <c r="E26" s="22">
        <f>Assumptions!E74</f>
        <v>5400</v>
      </c>
      <c r="F26" s="22">
        <f>Assumptions!F74</f>
        <v>5800</v>
      </c>
      <c r="G26" s="22">
        <f>Assumptions!G74</f>
        <v>6200</v>
      </c>
      <c r="H26" s="22">
        <f>Assumptions!H74</f>
        <v>6600</v>
      </c>
      <c r="I26" s="22">
        <f>Assumptions!I74</f>
        <v>7000</v>
      </c>
      <c r="J26" s="22">
        <f>Assumptions!J74</f>
        <v>7400</v>
      </c>
      <c r="K26" s="22">
        <f>Assumptions!K74</f>
        <v>7800</v>
      </c>
      <c r="L26" s="22">
        <f>Assumptions!L74</f>
        <v>8200</v>
      </c>
    </row>
    <row r="27" spans="1:12">
      <c r="A27" s="9" t="s">
        <v>351</v>
      </c>
      <c r="B27" s="10"/>
      <c r="C27" s="22">
        <f>Assumptions!C75*MAX(0,IF(1=1,Assumptions!C68,Assumptions!C68-Assumptions!C68))</f>
        <v>7000</v>
      </c>
      <c r="D27" s="22">
        <f>Assumptions!D75*MAX(0,IF(2=1,Assumptions!D68,Assumptions!D68-Assumptions!C68))</f>
        <v>7000</v>
      </c>
      <c r="E27" s="22">
        <f>Assumptions!E75*MAX(0,IF(3=1,Assumptions!E68,Assumptions!E68-Assumptions!D68))</f>
        <v>0</v>
      </c>
      <c r="F27" s="22">
        <f>Assumptions!F75*MAX(0,IF(4=1,Assumptions!F68,Assumptions!F68-Assumptions!E68))</f>
        <v>0</v>
      </c>
      <c r="G27" s="22">
        <f>Assumptions!G75*MAX(0,IF(5=1,Assumptions!G68,Assumptions!G68-Assumptions!F68))</f>
        <v>7000</v>
      </c>
      <c r="H27" s="22">
        <f>Assumptions!H75*MAX(0,IF(6=1,Assumptions!H68,Assumptions!H68-Assumptions!G68))</f>
        <v>7000</v>
      </c>
      <c r="I27" s="22">
        <f>Assumptions!I75*MAX(0,IF(7=1,Assumptions!I68,Assumptions!I68-Assumptions!H68))</f>
        <v>7000</v>
      </c>
      <c r="J27" s="22">
        <f>Assumptions!J75*MAX(0,IF(8=1,Assumptions!J68,Assumptions!J68-Assumptions!I68))</f>
        <v>7000</v>
      </c>
      <c r="K27" s="22">
        <f>Assumptions!K75*MAX(0,IF(9=1,Assumptions!K68,Assumptions!K68-Assumptions!J68))</f>
        <v>0</v>
      </c>
      <c r="L27" s="22">
        <f>Assumptions!L75*MAX(0,IF(10=1,Assumptions!L68,Assumptions!L68-Assumptions!K68))</f>
        <v>0</v>
      </c>
    </row>
    <row r="28" spans="1:12">
      <c r="A28" s="9" t="s">
        <v>352</v>
      </c>
      <c r="B28" s="10"/>
      <c r="C28" s="22">
        <f>Assumptions!C76*Assumptions!C68</f>
        <v>2500</v>
      </c>
      <c r="D28" s="22">
        <f>Assumptions!D76*Assumptions!D68</f>
        <v>5000</v>
      </c>
      <c r="E28" s="22">
        <f>Assumptions!E76*Assumptions!E68</f>
        <v>5000</v>
      </c>
      <c r="F28" s="22">
        <f>Assumptions!F76*Assumptions!F68</f>
        <v>5000</v>
      </c>
      <c r="G28" s="22">
        <f>Assumptions!G76*Assumptions!G68</f>
        <v>7500</v>
      </c>
      <c r="H28" s="22">
        <f>Assumptions!H76*Assumptions!H68</f>
        <v>10000</v>
      </c>
      <c r="I28" s="22">
        <f>Assumptions!I76*Assumptions!I68</f>
        <v>12500</v>
      </c>
      <c r="J28" s="22">
        <f>Assumptions!J76*Assumptions!J68</f>
        <v>15000</v>
      </c>
      <c r="K28" s="22">
        <f>Assumptions!K76*Assumptions!K68</f>
        <v>15000</v>
      </c>
      <c r="L28" s="22">
        <f>Assumptions!L76*Assumptions!L68</f>
        <v>15000</v>
      </c>
    </row>
    <row r="29" spans="1:12">
      <c r="A29" s="9" t="s">
        <v>353</v>
      </c>
      <c r="B29" s="10"/>
      <c r="C29" s="22">
        <f>Assumptions!C77</f>
        <v>8000</v>
      </c>
      <c r="D29" s="22">
        <f>Assumptions!D77</f>
        <v>10000</v>
      </c>
      <c r="E29" s="22">
        <f>Assumptions!E77</f>
        <v>0</v>
      </c>
      <c r="F29" s="22">
        <f>Assumptions!F77</f>
        <v>0</v>
      </c>
      <c r="G29" s="22">
        <f>Assumptions!G77</f>
        <v>0</v>
      </c>
      <c r="H29" s="22">
        <f>Assumptions!H77</f>
        <v>25000</v>
      </c>
      <c r="I29" s="22">
        <f>Assumptions!I77</f>
        <v>0</v>
      </c>
      <c r="J29" s="22">
        <f>Assumptions!J77</f>
        <v>0</v>
      </c>
      <c r="K29" s="22">
        <f>Assumptions!K77</f>
        <v>0</v>
      </c>
      <c r="L29" s="22">
        <f>Assumptions!L77</f>
        <v>0</v>
      </c>
    </row>
    <row r="30" spans="1:12">
      <c r="A30" s="9" t="s">
        <v>354</v>
      </c>
      <c r="B30" s="10"/>
      <c r="C30" s="22">
        <f>Assumptions!C78+Assumptions!C79*MAX(0,IF(1=1,Assumptions!C68,Assumptions!C68-Assumptions!C68))</f>
        <v>8000</v>
      </c>
      <c r="D30" s="22">
        <f>Assumptions!D78+Assumptions!D79*MAX(0,IF(2=1,Assumptions!D68,Assumptions!D68-Assumptions!C68))</f>
        <v>3500</v>
      </c>
      <c r="E30" s="22">
        <f>Assumptions!E78+Assumptions!E79*MAX(0,IF(3=1,Assumptions!E68,Assumptions!E68-Assumptions!D68))</f>
        <v>1500</v>
      </c>
      <c r="F30" s="22">
        <f>Assumptions!F78+Assumptions!F79*MAX(0,IF(4=1,Assumptions!F68,Assumptions!F68-Assumptions!E68))</f>
        <v>1500</v>
      </c>
      <c r="G30" s="22">
        <f>Assumptions!G78+Assumptions!G79*MAX(0,IF(5=1,Assumptions!G68,Assumptions!G68-Assumptions!F68))</f>
        <v>3500</v>
      </c>
      <c r="H30" s="22">
        <f>Assumptions!H78+Assumptions!H79*MAX(0,IF(6=1,Assumptions!H68,Assumptions!H68-Assumptions!G68))</f>
        <v>3500</v>
      </c>
      <c r="I30" s="22">
        <f>Assumptions!I78+Assumptions!I79*MAX(0,IF(7=1,Assumptions!I68,Assumptions!I68-Assumptions!H68))</f>
        <v>3500</v>
      </c>
      <c r="J30" s="22">
        <f>Assumptions!J78+Assumptions!J79*MAX(0,IF(8=1,Assumptions!J68,Assumptions!J68-Assumptions!I68))</f>
        <v>3500</v>
      </c>
      <c r="K30" s="22">
        <f>Assumptions!K78+Assumptions!K79*MAX(0,IF(9=1,Assumptions!K68,Assumptions!K68-Assumptions!J68))</f>
        <v>1500</v>
      </c>
      <c r="L30" s="22">
        <f>Assumptions!L78+Assumptions!L79*MAX(0,IF(10=1,Assumptions!L68,Assumptions!L68-Assumptions!K68))</f>
        <v>1500</v>
      </c>
    </row>
    <row r="31" spans="1:12">
      <c r="A31" s="9" t="s">
        <v>355</v>
      </c>
      <c r="B31" s="10"/>
      <c r="C31" s="22">
        <f>Assumptions!C80*MAX(0,IF(1=1,Assumptions!C66,Assumptions!C66-Assumptions!C66))+IF(Assumptions!C66&gt;=Assumptions!C82,Assumptions!C81,0)</f>
        <v>500</v>
      </c>
      <c r="D31" s="22">
        <f>Assumptions!D80*MAX(0,IF(2=1,Assumptions!D66,Assumptions!D66-Assumptions!C66))+IF(Assumptions!D66&gt;=Assumptions!D82,Assumptions!D81,0)</f>
        <v>250</v>
      </c>
      <c r="E31" s="22">
        <f>Assumptions!E80*MAX(0,IF(3=1,Assumptions!E66,Assumptions!E66-Assumptions!D66))+IF(Assumptions!E66&gt;=Assumptions!E82,Assumptions!E81,0)</f>
        <v>0</v>
      </c>
      <c r="F31" s="22">
        <f>Assumptions!F80*MAX(0,IF(4=1,Assumptions!F66,Assumptions!F66-Assumptions!E66))+IF(Assumptions!F66&gt;=Assumptions!F82,Assumptions!F81,0)</f>
        <v>250</v>
      </c>
      <c r="G31" s="22">
        <f>Assumptions!G80*MAX(0,IF(5=1,Assumptions!G66,Assumptions!G66-Assumptions!F66))+IF(Assumptions!G66&gt;=Assumptions!G82,Assumptions!G81,0)</f>
        <v>2500</v>
      </c>
      <c r="H31" s="22">
        <f>Assumptions!H80*MAX(0,IF(6=1,Assumptions!H66,Assumptions!H66-Assumptions!G66))+IF(Assumptions!H66&gt;=Assumptions!H82,Assumptions!H81,0)</f>
        <v>3000</v>
      </c>
      <c r="I31" s="22">
        <f>Assumptions!I80*MAX(0,IF(7=1,Assumptions!I66,Assumptions!I66-Assumptions!H66))+IF(Assumptions!I66&gt;=Assumptions!I82,Assumptions!I81,0)</f>
        <v>3000</v>
      </c>
      <c r="J31" s="22">
        <f>Assumptions!J80*MAX(0,IF(8=1,Assumptions!J66,Assumptions!J66-Assumptions!I66))+IF(Assumptions!J66&gt;=Assumptions!J82,Assumptions!J81,0)</f>
        <v>2750</v>
      </c>
      <c r="K31" s="22">
        <f>Assumptions!K80*MAX(0,IF(9=1,Assumptions!K66,Assumptions!K66-Assumptions!J66))+IF(Assumptions!K66&gt;=Assumptions!K82,Assumptions!K81,0)</f>
        <v>2500</v>
      </c>
      <c r="L31" s="22">
        <f>Assumptions!L80*MAX(0,IF(10=1,Assumptions!L66,Assumptions!L66-Assumptions!K66))+IF(Assumptions!L66&gt;=Assumptions!L82,Assumptions!L81,0)</f>
        <v>2250</v>
      </c>
    </row>
    <row r="32" spans="1:12">
      <c r="A32" s="9" t="s">
        <v>356</v>
      </c>
      <c r="B32" s="10"/>
      <c r="C32" s="22">
        <f>Assumptions!C83*Revenue!C20</f>
        <v>5.0283750000000005</v>
      </c>
      <c r="D32" s="22">
        <f>Assumptions!D83*Revenue!D20</f>
        <v>132.23168029069768</v>
      </c>
      <c r="E32" s="22">
        <f>Assumptions!E83*Revenue!E20</f>
        <v>522.99097596304136</v>
      </c>
      <c r="F32" s="22">
        <f>Assumptions!F83*Revenue!F20</f>
        <v>1298.9817283153234</v>
      </c>
      <c r="G32" s="22">
        <f>Assumptions!G83*Revenue!G20</f>
        <v>2556.3776032801356</v>
      </c>
      <c r="H32" s="22">
        <f>Assumptions!H83*Revenue!H20</f>
        <v>4311.7134532385799</v>
      </c>
      <c r="I32" s="22">
        <f>Assumptions!I83*Revenue!I20</f>
        <v>6282.0788214708764</v>
      </c>
      <c r="J32" s="22">
        <f>Assumptions!J83*Revenue!J20</f>
        <v>8179.6266771204619</v>
      </c>
      <c r="K32" s="22">
        <f>Assumptions!K83*Revenue!K20</f>
        <v>9595.5124707233663</v>
      </c>
      <c r="L32" s="22">
        <f>Assumptions!L83*Revenue!L20</f>
        <v>11365.296163788733</v>
      </c>
    </row>
    <row r="33" spans="1:12">
      <c r="A33" s="36" t="s">
        <v>357</v>
      </c>
      <c r="B33" s="37"/>
      <c r="C33" s="49">
        <f>SUM(C23:C32)*(1+Assumptions!C84)</f>
        <v>50720.782631249996</v>
      </c>
      <c r="D33" s="49">
        <f>SUM(D23:D32)*(1+Assumptions!D84)</f>
        <v>44197.066432334301</v>
      </c>
      <c r="E33" s="49">
        <f>SUM(E23:E32)*(1+Assumptions!E84)</f>
        <v>21818.939622357499</v>
      </c>
      <c r="F33" s="49">
        <f>SUM(F23:F32)*(1+Assumptions!F84)</f>
        <v>23976.328987562621</v>
      </c>
      <c r="G33" s="49">
        <f>SUM(G23:G32)*(1+Assumptions!G84)</f>
        <v>43764.834243772151</v>
      </c>
      <c r="H33" s="49">
        <f>SUM(H23:H32)*(1+Assumptions!H84)</f>
        <v>81548.470471224369</v>
      </c>
      <c r="I33" s="49">
        <f>SUM(I23:I32)*(1+Assumptions!I84)</f>
        <v>61504.390644691499</v>
      </c>
      <c r="J33" s="49">
        <f>SUM(J23:J32)*(1+Assumptions!J84)</f>
        <v>69321.570678688528</v>
      </c>
      <c r="K33" s="49">
        <f>SUM(K23:K32)*(1+Assumptions!K84)</f>
        <v>62842.339341331863</v>
      </c>
      <c r="L33" s="49">
        <f>SUM(L23:L32)*(1+Assumptions!L84)</f>
        <v>66602.590588357038</v>
      </c>
    </row>
    <row r="34" spans="1:12">
      <c r="A34" s="9" t="s">
        <v>358</v>
      </c>
      <c r="B34" s="10" t="s">
        <v>359</v>
      </c>
      <c r="C34" s="22">
        <f>Revenue!C26*Assumptions!C85</f>
        <v>171.71040000000005</v>
      </c>
      <c r="D34" s="22">
        <f>Revenue!D26*Assumptions!D85</f>
        <v>5469.9027124279073</v>
      </c>
      <c r="E34" s="22">
        <f>Revenue!E26*Assumptions!E85</f>
        <v>22945.503841166992</v>
      </c>
      <c r="F34" s="22">
        <f>Revenue!F26*Assumptions!F85</f>
        <v>56293.388460766546</v>
      </c>
      <c r="G34" s="22">
        <f>Revenue!G26*Assumptions!G85</f>
        <v>105708.00855872541</v>
      </c>
      <c r="H34" s="22">
        <f>Revenue!H26*Assumptions!H85</f>
        <v>169923.87808474322</v>
      </c>
      <c r="I34" s="22">
        <f>Revenue!I26*Assumptions!I85</f>
        <v>241053.05782651505</v>
      </c>
      <c r="J34" s="22">
        <f>Revenue!J26*Assumptions!J85</f>
        <v>308275.05029429047</v>
      </c>
      <c r="K34" s="22">
        <f>Revenue!K26*Assumptions!K85</f>
        <v>362132.40426500933</v>
      </c>
      <c r="L34" s="22">
        <f>Revenue!L26*Assumptions!L85</f>
        <v>420301.49057672272</v>
      </c>
    </row>
    <row r="35" spans="1:12">
      <c r="A35" s="45" t="s">
        <v>360</v>
      </c>
      <c r="B35" s="37"/>
      <c r="C35" s="46">
        <f t="shared" ref="C35:L35" si="2">C17+C21+C33+C34</f>
        <v>109392.49303124999</v>
      </c>
      <c r="D35" s="46">
        <f t="shared" si="2"/>
        <v>178185.2191447622</v>
      </c>
      <c r="E35" s="46">
        <f t="shared" si="2"/>
        <v>252106.04346352449</v>
      </c>
      <c r="F35" s="46">
        <f t="shared" si="2"/>
        <v>428374.51744832913</v>
      </c>
      <c r="G35" s="46">
        <f t="shared" si="2"/>
        <v>726522.44280249765</v>
      </c>
      <c r="H35" s="46">
        <f t="shared" si="2"/>
        <v>1071963.5485559676</v>
      </c>
      <c r="I35" s="46">
        <f t="shared" si="2"/>
        <v>1346139.4484712065</v>
      </c>
      <c r="J35" s="46">
        <f t="shared" si="2"/>
        <v>1594922.2209729792</v>
      </c>
      <c r="K35" s="46">
        <f t="shared" si="2"/>
        <v>1804968.7436063413</v>
      </c>
      <c r="L35" s="46">
        <f t="shared" si="2"/>
        <v>1978774.9611650796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workbookViewId="0">
      <pane xSplit="2" ySplit="2" topLeftCell="C3" activePane="bottomRight" state="frozen"/>
      <selection pane="bottomRight"/>
      <selection pane="bottomLeft"/>
      <selection pane="topRight"/>
    </sheetView>
  </sheetViews>
  <sheetFormatPr defaultRowHeight="14.45"/>
  <cols>
    <col min="1" max="1" width="44" customWidth="1"/>
    <col min="2" max="2" width="15" customWidth="1"/>
    <col min="3" max="12" width="13" customWidth="1"/>
  </cols>
  <sheetData>
    <row r="1" spans="1:12" ht="17.100000000000001">
      <c r="A1" s="1" t="s">
        <v>361</v>
      </c>
    </row>
    <row r="2" spans="1:12">
      <c r="A2" s="5" t="s">
        <v>54</v>
      </c>
      <c r="B2" s="5" t="s">
        <v>55</v>
      </c>
      <c r="C2" s="6" t="s">
        <v>56</v>
      </c>
      <c r="D2" s="6" t="s">
        <v>57</v>
      </c>
      <c r="E2" s="6" t="s">
        <v>58</v>
      </c>
      <c r="F2" s="6" t="s">
        <v>59</v>
      </c>
      <c r="G2" s="6" t="s">
        <v>60</v>
      </c>
      <c r="H2" s="6" t="s">
        <v>61</v>
      </c>
      <c r="I2" s="6" t="s">
        <v>62</v>
      </c>
      <c r="J2" s="6" t="s">
        <v>63</v>
      </c>
      <c r="K2" s="6" t="s">
        <v>64</v>
      </c>
      <c r="L2" s="6" t="s">
        <v>65</v>
      </c>
    </row>
    <row r="4" spans="1:12">
      <c r="A4" s="7" t="s">
        <v>362</v>
      </c>
      <c r="B4" s="8"/>
      <c r="C4" s="8"/>
      <c r="D4" s="8"/>
      <c r="E4" s="8"/>
      <c r="F4" s="8"/>
      <c r="G4" s="8"/>
      <c r="H4" s="8"/>
      <c r="I4" s="8"/>
      <c r="J4" s="8"/>
      <c r="K4" s="8"/>
      <c r="L4" s="8"/>
    </row>
    <row r="5" spans="1:12">
      <c r="A5" s="9" t="s">
        <v>363</v>
      </c>
      <c r="B5" s="10" t="s">
        <v>364</v>
      </c>
      <c r="C5" s="22">
        <f>(Revenue!C24+Revenue!C25)*Assumptions!C89/365</f>
        <v>264.62219178082199</v>
      </c>
      <c r="D5" s="22">
        <f>(Revenue!D24+Revenue!D25)*Assumptions!D89/365</f>
        <v>2111.1958060273969</v>
      </c>
      <c r="E5" s="22">
        <f>(Revenue!E24+Revenue!E25)*Assumptions!E89/365</f>
        <v>12639.071099967125</v>
      </c>
      <c r="F5" s="22">
        <f>(Revenue!F24+Revenue!F25)*Assumptions!F89/365</f>
        <v>37945.692937223008</v>
      </c>
      <c r="G5" s="22">
        <f>(Revenue!G24+Revenue!G25)*Assumptions!G89/365</f>
        <v>78601.180110904112</v>
      </c>
      <c r="H5" s="22">
        <f>(Revenue!H24+Revenue!H25)*Assumptions!H89/365</f>
        <v>134358.01020493149</v>
      </c>
      <c r="I5" s="22">
        <f>(Revenue!I24+Revenue!I25)*Assumptions!I89/365</f>
        <v>194450.08094334244</v>
      </c>
      <c r="J5" s="22">
        <f>(Revenue!J24+Revenue!J25)*Assumptions!J89/365</f>
        <v>251186.91165843289</v>
      </c>
      <c r="K5" s="22">
        <f>(Revenue!K24+Revenue!K25)*Assumptions!K89/365</f>
        <v>293181.81878847122</v>
      </c>
      <c r="L5" s="22">
        <f>(Revenue!L24+Revenue!L25)*Assumptions!L89/365</f>
        <v>348474.05140865757</v>
      </c>
    </row>
    <row r="6" spans="1:12">
      <c r="A6" s="9" t="s">
        <v>175</v>
      </c>
      <c r="B6" s="10" t="s">
        <v>365</v>
      </c>
      <c r="C6" s="22">
        <f>(Revenue!C10+Revenue!C15)*Assumptions!C88/365</f>
        <v>688.81849315068507</v>
      </c>
      <c r="D6" s="22">
        <f>(Revenue!D10+Revenue!D15)*Assumptions!D88/365</f>
        <v>21062.538239964961</v>
      </c>
      <c r="E6" s="22">
        <f>(Revenue!E10+Revenue!E15)*Assumptions!E88/365</f>
        <v>82246.269714421927</v>
      </c>
      <c r="F6" s="22">
        <f>(Revenue!F10+Revenue!F15)*Assumptions!F88/365</f>
        <v>200719.68362486866</v>
      </c>
      <c r="G6" s="22">
        <f>(Revenue!G10+Revenue!G15)*Assumptions!G88/365</f>
        <v>389531.04492725537</v>
      </c>
      <c r="H6" s="22">
        <f>(Revenue!H10+Revenue!H15)*Assumptions!H88/365</f>
        <v>650150.80252310715</v>
      </c>
      <c r="I6" s="22">
        <f>(Revenue!I10+Revenue!I15)*Assumptions!I88/365</f>
        <v>943175.4473944878</v>
      </c>
      <c r="J6" s="22">
        <f>(Revenue!J10+Revenue!J15)*Assumptions!J88/365</f>
        <v>1224980.905769282</v>
      </c>
      <c r="K6" s="22">
        <f>(Revenue!K10+Revenue!K15)*Assumptions!K88/365</f>
        <v>1438073.2690103112</v>
      </c>
      <c r="L6" s="22">
        <f>(Revenue!L10+Revenue!L15)*Assumptions!L88/365</f>
        <v>1696540.2813951189</v>
      </c>
    </row>
    <row r="7" spans="1:12">
      <c r="A7" s="9" t="s">
        <v>366</v>
      </c>
      <c r="B7" s="10" t="s">
        <v>367</v>
      </c>
      <c r="C7" s="22">
        <f>Costs!C35*Assumptions!C90/365</f>
        <v>8991.1638107876697</v>
      </c>
      <c r="D7" s="22">
        <f>Costs!D35*Assumptions!D90/365</f>
        <v>14645.36047765169</v>
      </c>
      <c r="E7" s="22">
        <f>Costs!E35*Assumptions!E90/365</f>
        <v>20721.044668234888</v>
      </c>
      <c r="F7" s="22">
        <f>Costs!F35*Assumptions!F90/365</f>
        <v>35208.864447807871</v>
      </c>
      <c r="G7" s="22">
        <f>Costs!G35*Assumptions!G90/365</f>
        <v>59714.173381027198</v>
      </c>
      <c r="H7" s="22">
        <f>Costs!H35*Assumptions!H90/365</f>
        <v>88106.593031997341</v>
      </c>
      <c r="I7" s="22">
        <f>Costs!I35*Assumptions!I90/365</f>
        <v>110641.59850448272</v>
      </c>
      <c r="J7" s="22">
        <f>Costs!J35*Assumptions!J90/365</f>
        <v>131089.49761421749</v>
      </c>
      <c r="K7" s="22">
        <f>Costs!K35*Assumptions!K90/365</f>
        <v>148353.59536490476</v>
      </c>
      <c r="L7" s="22">
        <f>Costs!L35*Assumptions!L90/365</f>
        <v>162639.03790397916</v>
      </c>
    </row>
    <row r="8" spans="1:12">
      <c r="A8" s="36" t="s">
        <v>368</v>
      </c>
      <c r="B8" s="37" t="s">
        <v>369</v>
      </c>
      <c r="C8" s="43">
        <f t="shared" ref="C8:L8" si="0">C5-C6-C7</f>
        <v>-9415.3601121575321</v>
      </c>
      <c r="D8" s="43">
        <f t="shared" si="0"/>
        <v>-33596.702911589251</v>
      </c>
      <c r="E8" s="43">
        <f t="shared" si="0"/>
        <v>-90328.243282689684</v>
      </c>
      <c r="F8" s="43">
        <f t="shared" si="0"/>
        <v>-197982.85513545352</v>
      </c>
      <c r="G8" s="43">
        <f t="shared" si="0"/>
        <v>-370644.03819737845</v>
      </c>
      <c r="H8" s="43">
        <f t="shared" si="0"/>
        <v>-603899.38535017299</v>
      </c>
      <c r="I8" s="43">
        <f t="shared" si="0"/>
        <v>-859366.96495562815</v>
      </c>
      <c r="J8" s="43">
        <f t="shared" si="0"/>
        <v>-1104883.4917250667</v>
      </c>
      <c r="K8" s="43">
        <f t="shared" si="0"/>
        <v>-1293245.0455867448</v>
      </c>
      <c r="L8" s="43">
        <f t="shared" si="0"/>
        <v>-1510705.2678904405</v>
      </c>
    </row>
    <row r="9" spans="1:12">
      <c r="A9" s="9" t="s">
        <v>370</v>
      </c>
      <c r="B9" s="10" t="s">
        <v>371</v>
      </c>
      <c r="C9" s="47">
        <f>IF(1=1,C8,C8-C8)</f>
        <v>-9415.3601121575321</v>
      </c>
      <c r="D9" s="47">
        <f>IF(2=1,D8,D8-C8)</f>
        <v>-24181.342799431717</v>
      </c>
      <c r="E9" s="47">
        <f>IF(3=1,E8,E8-D8)</f>
        <v>-56731.540371100433</v>
      </c>
      <c r="F9" s="47">
        <f>IF(4=1,F8,F8-E8)</f>
        <v>-107654.61185276383</v>
      </c>
      <c r="G9" s="47">
        <f>IF(5=1,G8,G8-F8)</f>
        <v>-172661.18306192494</v>
      </c>
      <c r="H9" s="47">
        <f>IF(6=1,H8,H8-G8)</f>
        <v>-233255.34715279454</v>
      </c>
      <c r="I9" s="47">
        <f>IF(7=1,I8,I8-H8)</f>
        <v>-255467.57960545516</v>
      </c>
      <c r="J9" s="47">
        <f>IF(8=1,J8,J8-I8)</f>
        <v>-245516.52676943853</v>
      </c>
      <c r="K9" s="47">
        <f>IF(9=1,K8,K8-J8)</f>
        <v>-188361.55386167811</v>
      </c>
      <c r="L9" s="47">
        <f>IF(10=1,L8,L8-K8)</f>
        <v>-217460.22230369574</v>
      </c>
    </row>
    <row r="11" spans="1:12">
      <c r="A11" s="7" t="s">
        <v>372</v>
      </c>
      <c r="B11" s="8"/>
      <c r="C11" s="8"/>
      <c r="D11" s="8"/>
      <c r="E11" s="8"/>
      <c r="F11" s="8"/>
      <c r="G11" s="8"/>
      <c r="H11" s="8"/>
      <c r="I11" s="8"/>
      <c r="J11" s="8"/>
      <c r="K11" s="8"/>
      <c r="L11" s="8"/>
    </row>
    <row r="12" spans="1:12">
      <c r="A12" s="9" t="s">
        <v>180</v>
      </c>
      <c r="B12" s="10" t="s">
        <v>181</v>
      </c>
      <c r="C12" s="22">
        <f>Costs!C17*Assumptions!C91</f>
        <v>11400</v>
      </c>
      <c r="D12" s="22">
        <f>Costs!D17*Assumptions!D91</f>
        <v>23400</v>
      </c>
      <c r="E12" s="22">
        <f>Costs!E17*Assumptions!E91</f>
        <v>27000</v>
      </c>
      <c r="F12" s="22">
        <f>Costs!F17*Assumptions!F91</f>
        <v>38400</v>
      </c>
      <c r="G12" s="22">
        <f>Costs!G17*Assumptions!G91</f>
        <v>79200</v>
      </c>
      <c r="H12" s="22">
        <f>Costs!H17*Assumptions!H91</f>
        <v>142800</v>
      </c>
      <c r="I12" s="22">
        <f>Costs!I17*Assumptions!I91</f>
        <v>210000</v>
      </c>
      <c r="J12" s="22">
        <f>Costs!J17*Assumptions!J91</f>
        <v>270000</v>
      </c>
      <c r="K12" s="22">
        <f>Costs!K17*Assumptions!K91</f>
        <v>321900</v>
      </c>
      <c r="L12" s="22">
        <f>Costs!L17*Assumptions!L91</f>
        <v>364800</v>
      </c>
    </row>
    <row r="13" spans="1:12">
      <c r="A13" s="9" t="s">
        <v>373</v>
      </c>
      <c r="B13" s="10" t="s">
        <v>374</v>
      </c>
      <c r="C13" s="22">
        <f ca="1">SUM(OFFSET(C12,0,-MIN(Assumptions!C92-1,1-1),1,MIN(Assumptions!C92,1)))/Assumptions!C92</f>
        <v>3800</v>
      </c>
      <c r="D13" s="22">
        <f ca="1">SUM(OFFSET(D12,0,-MIN(Assumptions!D92-1,2-1),1,MIN(Assumptions!D92,2)))/Assumptions!D92</f>
        <v>11600</v>
      </c>
      <c r="E13" s="22">
        <f ca="1">SUM(OFFSET(E12,0,-MIN(Assumptions!E92-1,3-1),1,MIN(Assumptions!E92,3)))/Assumptions!E92</f>
        <v>20600</v>
      </c>
      <c r="F13" s="22">
        <f ca="1">SUM(OFFSET(F12,0,-MIN(Assumptions!F92-1,4-1),1,MIN(Assumptions!F92,4)))/Assumptions!F92</f>
        <v>29600</v>
      </c>
      <c r="G13" s="22">
        <f ca="1">SUM(OFFSET(G12,0,-MIN(Assumptions!G92-1,5-1),1,MIN(Assumptions!G92,5)))/Assumptions!G92</f>
        <v>48200</v>
      </c>
      <c r="H13" s="22">
        <f ca="1">SUM(OFFSET(H12,0,-MIN(Assumptions!H92-1,6-1),1,MIN(Assumptions!H92,6)))/Assumptions!H92</f>
        <v>86800</v>
      </c>
      <c r="I13" s="22">
        <f ca="1">SUM(OFFSET(I12,0,-MIN(Assumptions!I92-1,7-1),1,MIN(Assumptions!I92,7)))/Assumptions!I92</f>
        <v>144000</v>
      </c>
      <c r="J13" s="22">
        <f ca="1">SUM(OFFSET(J12,0,-MIN(Assumptions!J92-1,8-1),1,MIN(Assumptions!J92,8)))/Assumptions!J92</f>
        <v>207600</v>
      </c>
      <c r="K13" s="22">
        <f ca="1">SUM(OFFSET(K12,0,-MIN(Assumptions!K92-1,9-1),1,MIN(Assumptions!K92,9)))/Assumptions!K92</f>
        <v>267300</v>
      </c>
      <c r="L13" s="22">
        <f ca="1">SUM(OFFSET(L12,0,-MIN(Assumptions!L92-1,10-1),1,MIN(Assumptions!L92,10)))/Assumptions!L92</f>
        <v>318900</v>
      </c>
    </row>
    <row r="14" spans="1:12">
      <c r="A14" s="9" t="s">
        <v>375</v>
      </c>
      <c r="B14" s="10" t="s">
        <v>376</v>
      </c>
      <c r="C14" s="47">
        <f ca="1">C12-C13</f>
        <v>7600</v>
      </c>
      <c r="D14" s="47">
        <f t="shared" ref="D14:L14" ca="1" si="1">C14+D12-D13</f>
        <v>19400</v>
      </c>
      <c r="E14" s="47">
        <f t="shared" ca="1" si="1"/>
        <v>25800</v>
      </c>
      <c r="F14" s="47">
        <f t="shared" ca="1" si="1"/>
        <v>34600</v>
      </c>
      <c r="G14" s="47">
        <f t="shared" ca="1" si="1"/>
        <v>65600</v>
      </c>
      <c r="H14" s="47">
        <f t="shared" ca="1" si="1"/>
        <v>121600</v>
      </c>
      <c r="I14" s="47">
        <f t="shared" ca="1" si="1"/>
        <v>187600</v>
      </c>
      <c r="J14" s="47">
        <f t="shared" ca="1" si="1"/>
        <v>250000</v>
      </c>
      <c r="K14" s="47">
        <f t="shared" ca="1" si="1"/>
        <v>304600</v>
      </c>
      <c r="L14" s="47">
        <f t="shared" ca="1" si="1"/>
        <v>350500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1"/>
  <sheetViews>
    <sheetView workbookViewId="0">
      <pane xSplit="2" ySplit="2" topLeftCell="C3" activePane="bottomRight" state="frozen"/>
      <selection pane="bottomRight"/>
      <selection pane="bottomLeft"/>
      <selection pane="topRight"/>
    </sheetView>
  </sheetViews>
  <sheetFormatPr defaultRowHeight="14.45"/>
  <cols>
    <col min="1" max="1" width="44" customWidth="1"/>
    <col min="2" max="2" width="15" customWidth="1"/>
    <col min="3" max="12" width="13" customWidth="1"/>
  </cols>
  <sheetData>
    <row r="1" spans="1:12" ht="17.100000000000001">
      <c r="A1" s="1" t="s">
        <v>30</v>
      </c>
    </row>
    <row r="2" spans="1:12">
      <c r="A2" s="5" t="s">
        <v>54</v>
      </c>
      <c r="B2" s="5" t="s">
        <v>55</v>
      </c>
      <c r="C2" s="6" t="s">
        <v>56</v>
      </c>
      <c r="D2" s="6" t="s">
        <v>57</v>
      </c>
      <c r="E2" s="6" t="s">
        <v>58</v>
      </c>
      <c r="F2" s="6" t="s">
        <v>59</v>
      </c>
      <c r="G2" s="6" t="s">
        <v>60</v>
      </c>
      <c r="H2" s="6" t="s">
        <v>61</v>
      </c>
      <c r="I2" s="6" t="s">
        <v>62</v>
      </c>
      <c r="J2" s="6" t="s">
        <v>63</v>
      </c>
      <c r="K2" s="6" t="s">
        <v>64</v>
      </c>
      <c r="L2" s="6" t="s">
        <v>65</v>
      </c>
    </row>
    <row r="4" spans="1:12">
      <c r="A4" s="36" t="s">
        <v>377</v>
      </c>
      <c r="B4" s="37"/>
      <c r="C4" s="49">
        <f>Revenue!C26</f>
        <v>2146.3800000000006</v>
      </c>
      <c r="D4" s="49">
        <f>Revenue!D26</f>
        <v>68373.783905348842</v>
      </c>
      <c r="E4" s="49">
        <f>Revenue!E26</f>
        <v>286818.79801458737</v>
      </c>
      <c r="F4" s="49">
        <f>Revenue!F26</f>
        <v>703667.35575958178</v>
      </c>
      <c r="G4" s="49">
        <f>Revenue!G26</f>
        <v>1321350.1069840677</v>
      </c>
      <c r="H4" s="49">
        <f>Revenue!H26</f>
        <v>2124048.4760592901</v>
      </c>
      <c r="I4" s="49">
        <f>Revenue!I26</f>
        <v>3013163.2228314383</v>
      </c>
      <c r="J4" s="49">
        <f>Revenue!J26</f>
        <v>3853438.128678631</v>
      </c>
      <c r="K4" s="49">
        <f>Revenue!K26</f>
        <v>4526655.0533126164</v>
      </c>
      <c r="L4" s="49">
        <f>Revenue!L26</f>
        <v>5253768.6322090337</v>
      </c>
    </row>
    <row r="5" spans="1:12">
      <c r="A5" s="9" t="s">
        <v>378</v>
      </c>
      <c r="B5" s="10"/>
      <c r="C5" s="22">
        <f>-Costs!C14</f>
        <v>-3422.7090522875815</v>
      </c>
      <c r="D5" s="22">
        <f>-Costs!D14</f>
        <v>-31857.286861439978</v>
      </c>
      <c r="E5" s="22">
        <f>-Costs!E14</f>
        <v>-106695.02051545861</v>
      </c>
      <c r="F5" s="22">
        <f>-Costs!F14</f>
        <v>-235197.48377502494</v>
      </c>
      <c r="G5" s="22">
        <f>-Costs!G14</f>
        <v>-421378.20649457682</v>
      </c>
      <c r="H5" s="22">
        <f>-Costs!H14</f>
        <v>-658989.57252219541</v>
      </c>
      <c r="I5" s="22">
        <f>-Costs!I14</f>
        <v>-923988.59466396796</v>
      </c>
      <c r="J5" s="22">
        <f>-Costs!J14</f>
        <v>-1175852.2576634279</v>
      </c>
      <c r="K5" s="22">
        <f>-Costs!K14</f>
        <v>-1378200.0451136455</v>
      </c>
      <c r="L5" s="22">
        <f>-Costs!L14</f>
        <v>-1591699.0999051721</v>
      </c>
    </row>
    <row r="6" spans="1:12">
      <c r="A6" s="45" t="s">
        <v>379</v>
      </c>
      <c r="B6" s="37"/>
      <c r="C6" s="46">
        <f t="shared" ref="C6:L6" si="0">C4+C5</f>
        <v>-1276.3290522875809</v>
      </c>
      <c r="D6" s="46">
        <f t="shared" si="0"/>
        <v>36516.497043908865</v>
      </c>
      <c r="E6" s="46">
        <f t="shared" si="0"/>
        <v>180123.77749912877</v>
      </c>
      <c r="F6" s="46">
        <f t="shared" si="0"/>
        <v>468469.87198455684</v>
      </c>
      <c r="G6" s="46">
        <f t="shared" si="0"/>
        <v>899971.90048949094</v>
      </c>
      <c r="H6" s="46">
        <f t="shared" si="0"/>
        <v>1465058.9035370946</v>
      </c>
      <c r="I6" s="46">
        <f t="shared" si="0"/>
        <v>2089174.6281674705</v>
      </c>
      <c r="J6" s="46">
        <f t="shared" si="0"/>
        <v>2677585.8710152032</v>
      </c>
      <c r="K6" s="46">
        <f t="shared" si="0"/>
        <v>3148455.0081989709</v>
      </c>
      <c r="L6" s="46">
        <f t="shared" si="0"/>
        <v>3662069.5323038613</v>
      </c>
    </row>
    <row r="7" spans="1:12">
      <c r="A7" s="9" t="s">
        <v>380</v>
      </c>
      <c r="B7" s="10"/>
      <c r="C7" s="48">
        <f t="shared" ref="C7:L7" si="1">C6/C4</f>
        <v>-0.59464263191400435</v>
      </c>
      <c r="D7" s="48">
        <f t="shared" si="1"/>
        <v>0.53407161280498039</v>
      </c>
      <c r="E7" s="48">
        <f t="shared" si="1"/>
        <v>0.62800548201853845</v>
      </c>
      <c r="F7" s="48">
        <f t="shared" si="1"/>
        <v>0.66575473218998726</v>
      </c>
      <c r="G7" s="48">
        <f t="shared" si="1"/>
        <v>0.68110025929739637</v>
      </c>
      <c r="H7" s="48">
        <f t="shared" si="1"/>
        <v>0.6897483367494478</v>
      </c>
      <c r="I7" s="48">
        <f t="shared" si="1"/>
        <v>0.69334930558600627</v>
      </c>
      <c r="J7" s="48">
        <f t="shared" si="1"/>
        <v>0.69485632871270853</v>
      </c>
      <c r="K7" s="48">
        <f t="shared" si="1"/>
        <v>0.69553676414882204</v>
      </c>
      <c r="L7" s="48">
        <f t="shared" si="1"/>
        <v>0.6970366966396242</v>
      </c>
    </row>
    <row r="9" spans="1:12">
      <c r="A9" s="9" t="s">
        <v>381</v>
      </c>
      <c r="B9" s="10"/>
      <c r="C9" s="22">
        <f>-Costs!C35</f>
        <v>-109392.49303124999</v>
      </c>
      <c r="D9" s="22">
        <f>-Costs!D35</f>
        <v>-178185.2191447622</v>
      </c>
      <c r="E9" s="22">
        <f>-Costs!E35</f>
        <v>-252106.04346352449</v>
      </c>
      <c r="F9" s="22">
        <f>-Costs!F35</f>
        <v>-428374.51744832913</v>
      </c>
      <c r="G9" s="22">
        <f>-Costs!G35</f>
        <v>-726522.44280249765</v>
      </c>
      <c r="H9" s="22">
        <f>-Costs!H35</f>
        <v>-1071963.5485559676</v>
      </c>
      <c r="I9" s="22">
        <f>-Costs!I35</f>
        <v>-1346139.4484712065</v>
      </c>
      <c r="J9" s="22">
        <f>-Costs!J35</f>
        <v>-1594922.2209729792</v>
      </c>
      <c r="K9" s="22">
        <f>-Costs!K35</f>
        <v>-1804968.7436063413</v>
      </c>
      <c r="L9" s="22">
        <f>-Costs!L35</f>
        <v>-1978774.9611650796</v>
      </c>
    </row>
    <row r="10" spans="1:12">
      <c r="A10" s="45" t="s">
        <v>382</v>
      </c>
      <c r="B10" s="37"/>
      <c r="C10" s="46">
        <f t="shared" ref="C10:L10" si="2">C6+C9</f>
        <v>-110668.82208353757</v>
      </c>
      <c r="D10" s="46">
        <f t="shared" si="2"/>
        <v>-141668.72210085334</v>
      </c>
      <c r="E10" s="46">
        <f t="shared" si="2"/>
        <v>-71982.265964395716</v>
      </c>
      <c r="F10" s="46">
        <f t="shared" si="2"/>
        <v>40095.354536227707</v>
      </c>
      <c r="G10" s="46">
        <f t="shared" si="2"/>
        <v>173449.45768699329</v>
      </c>
      <c r="H10" s="46">
        <f t="shared" si="2"/>
        <v>393095.35498112696</v>
      </c>
      <c r="I10" s="46">
        <f t="shared" si="2"/>
        <v>743035.17969626398</v>
      </c>
      <c r="J10" s="46">
        <f t="shared" si="2"/>
        <v>1082663.650042224</v>
      </c>
      <c r="K10" s="46">
        <f t="shared" si="2"/>
        <v>1343486.2645926296</v>
      </c>
      <c r="L10" s="46">
        <f t="shared" si="2"/>
        <v>1683294.5711387817</v>
      </c>
    </row>
    <row r="11" spans="1:12">
      <c r="A11" s="9" t="s">
        <v>383</v>
      </c>
      <c r="B11" s="10"/>
      <c r="C11" s="48">
        <f t="shared" ref="C11:L11" si="3">C10/C4</f>
        <v>-51.560684540266656</v>
      </c>
      <c r="D11" s="48">
        <f t="shared" si="3"/>
        <v>-2.0719742861820856</v>
      </c>
      <c r="E11" s="48">
        <f t="shared" si="3"/>
        <v>-0.25096774152416174</v>
      </c>
      <c r="F11" s="48">
        <f t="shared" si="3"/>
        <v>5.6980552256749667E-2</v>
      </c>
      <c r="G11" s="48">
        <f t="shared" si="3"/>
        <v>0.13126684348850223</v>
      </c>
      <c r="H11" s="48">
        <f t="shared" si="3"/>
        <v>0.18506891881791224</v>
      </c>
      <c r="I11" s="48">
        <f t="shared" si="3"/>
        <v>0.24659639214567391</v>
      </c>
      <c r="J11" s="48">
        <f t="shared" si="3"/>
        <v>0.28096043426379763</v>
      </c>
      <c r="K11" s="48">
        <f t="shared" si="3"/>
        <v>0.29679448704832573</v>
      </c>
      <c r="L11" s="48">
        <f t="shared" si="3"/>
        <v>0.3203975448821797</v>
      </c>
    </row>
    <row r="12" spans="1:12">
      <c r="A12" s="9" t="s">
        <v>373</v>
      </c>
      <c r="B12" s="10"/>
      <c r="C12" s="22">
        <f ca="1">-WorkingCap!C13</f>
        <v>-3800</v>
      </c>
      <c r="D12" s="22">
        <f ca="1">-WorkingCap!D13</f>
        <v>-11600</v>
      </c>
      <c r="E12" s="22">
        <f ca="1">-WorkingCap!E13</f>
        <v>-20600</v>
      </c>
      <c r="F12" s="22">
        <f ca="1">-WorkingCap!F13</f>
        <v>-29600</v>
      </c>
      <c r="G12" s="22">
        <f ca="1">-WorkingCap!G13</f>
        <v>-48200</v>
      </c>
      <c r="H12" s="22">
        <f ca="1">-WorkingCap!H13</f>
        <v>-86800</v>
      </c>
      <c r="I12" s="22">
        <f ca="1">-WorkingCap!I13</f>
        <v>-144000</v>
      </c>
      <c r="J12" s="22">
        <f ca="1">-WorkingCap!J13</f>
        <v>-207600</v>
      </c>
      <c r="K12" s="22">
        <f ca="1">-WorkingCap!K13</f>
        <v>-267300</v>
      </c>
      <c r="L12" s="22">
        <f ca="1">-WorkingCap!L13</f>
        <v>-318900</v>
      </c>
    </row>
    <row r="13" spans="1:12">
      <c r="A13" s="36" t="s">
        <v>384</v>
      </c>
      <c r="B13" s="37"/>
      <c r="C13" s="43">
        <f t="shared" ref="C13:L13" ca="1" si="4">C10+C12</f>
        <v>-114468.82208353757</v>
      </c>
      <c r="D13" s="43">
        <f t="shared" ca="1" si="4"/>
        <v>-153268.72210085334</v>
      </c>
      <c r="E13" s="43">
        <f t="shared" ca="1" si="4"/>
        <v>-92582.265964395716</v>
      </c>
      <c r="F13" s="43">
        <f t="shared" ca="1" si="4"/>
        <v>10495.354536227707</v>
      </c>
      <c r="G13" s="43">
        <f t="shared" ca="1" si="4"/>
        <v>125249.45768699329</v>
      </c>
      <c r="H13" s="43">
        <f t="shared" ca="1" si="4"/>
        <v>306295.35498112696</v>
      </c>
      <c r="I13" s="43">
        <f t="shared" ca="1" si="4"/>
        <v>599035.17969626398</v>
      </c>
      <c r="J13" s="43">
        <f t="shared" ca="1" si="4"/>
        <v>875063.65004222398</v>
      </c>
      <c r="K13" s="43">
        <f t="shared" ca="1" si="4"/>
        <v>1076186.2645926296</v>
      </c>
      <c r="L13" s="43">
        <f t="shared" ca="1" si="4"/>
        <v>1364394.5711387817</v>
      </c>
    </row>
    <row r="15" spans="1:12">
      <c r="A15" s="7" t="s">
        <v>385</v>
      </c>
      <c r="B15" s="8"/>
      <c r="C15" s="8"/>
      <c r="D15" s="8"/>
      <c r="E15" s="8"/>
      <c r="F15" s="8"/>
      <c r="G15" s="8"/>
      <c r="H15" s="8"/>
      <c r="I15" s="8"/>
      <c r="J15" s="8"/>
      <c r="K15" s="8"/>
      <c r="L15" s="8"/>
    </row>
    <row r="16" spans="1:12">
      <c r="A16" s="9" t="s">
        <v>386</v>
      </c>
      <c r="B16" s="10" t="s">
        <v>387</v>
      </c>
      <c r="C16" s="47">
        <f>IF(1=1,0,MIN(0,C18))</f>
        <v>0</v>
      </c>
      <c r="D16" s="47">
        <f ca="1">IF(2=1,0,MIN(0,C18))</f>
        <v>-114468.82208353757</v>
      </c>
      <c r="E16" s="47">
        <f ca="1">IF(3=1,0,MIN(0,D18))</f>
        <v>-267737.54418439092</v>
      </c>
      <c r="F16" s="47">
        <f ca="1">IF(4=1,0,MIN(0,E18))</f>
        <v>-360319.81014878664</v>
      </c>
      <c r="G16" s="47">
        <f ca="1">IF(5=1,0,MIN(0,F18))</f>
        <v>-349824.45561255893</v>
      </c>
      <c r="H16" s="47">
        <f ca="1">IF(6=1,0,MIN(0,G18))</f>
        <v>-224574.99792556564</v>
      </c>
      <c r="I16" s="47">
        <f ca="1">IF(7=1,0,MIN(0,H18))</f>
        <v>0</v>
      </c>
      <c r="J16" s="47">
        <f ca="1">IF(8=1,0,MIN(0,I18))</f>
        <v>0</v>
      </c>
      <c r="K16" s="47">
        <f ca="1">IF(9=1,0,MIN(0,J18))</f>
        <v>0</v>
      </c>
      <c r="L16" s="47">
        <f ca="1">IF(10=1,0,MIN(0,K18))</f>
        <v>0</v>
      </c>
    </row>
    <row r="17" spans="1:12">
      <c r="A17" s="9" t="s">
        <v>388</v>
      </c>
      <c r="B17" s="10" t="s">
        <v>389</v>
      </c>
      <c r="C17" s="47">
        <f t="shared" ref="C17:L17" ca="1" si="5">MAX(0,C13+C16)</f>
        <v>0</v>
      </c>
      <c r="D17" s="47">
        <f t="shared" ca="1" si="5"/>
        <v>0</v>
      </c>
      <c r="E17" s="47">
        <f t="shared" ca="1" si="5"/>
        <v>0</v>
      </c>
      <c r="F17" s="47">
        <f t="shared" ca="1" si="5"/>
        <v>0</v>
      </c>
      <c r="G17" s="47">
        <f t="shared" ca="1" si="5"/>
        <v>0</v>
      </c>
      <c r="H17" s="47">
        <f t="shared" ca="1" si="5"/>
        <v>81720.357055561326</v>
      </c>
      <c r="I17" s="47">
        <f t="shared" ca="1" si="5"/>
        <v>599035.17969626398</v>
      </c>
      <c r="J17" s="47">
        <f t="shared" ca="1" si="5"/>
        <v>875063.65004222398</v>
      </c>
      <c r="K17" s="47">
        <f t="shared" ca="1" si="5"/>
        <v>1076186.2645926296</v>
      </c>
      <c r="L17" s="47">
        <f t="shared" ca="1" si="5"/>
        <v>1364394.5711387817</v>
      </c>
    </row>
    <row r="18" spans="1:12">
      <c r="A18" s="9" t="s">
        <v>390</v>
      </c>
      <c r="B18" s="10" t="s">
        <v>391</v>
      </c>
      <c r="C18" s="47">
        <f ca="1">MIN(0,C13)</f>
        <v>-114468.82208353757</v>
      </c>
      <c r="D18" s="47">
        <f t="shared" ref="D18:L18" ca="1" si="6">MIN(0,D13+C18)</f>
        <v>-267737.54418439092</v>
      </c>
      <c r="E18" s="47">
        <f t="shared" ca="1" si="6"/>
        <v>-360319.81014878664</v>
      </c>
      <c r="F18" s="47">
        <f t="shared" ca="1" si="6"/>
        <v>-349824.45561255893</v>
      </c>
      <c r="G18" s="47">
        <f t="shared" ca="1" si="6"/>
        <v>-224574.99792556564</v>
      </c>
      <c r="H18" s="47">
        <f t="shared" ca="1" si="6"/>
        <v>0</v>
      </c>
      <c r="I18" s="47">
        <f t="shared" ca="1" si="6"/>
        <v>0</v>
      </c>
      <c r="J18" s="47">
        <f t="shared" ca="1" si="6"/>
        <v>0</v>
      </c>
      <c r="K18" s="47">
        <f t="shared" ca="1" si="6"/>
        <v>0</v>
      </c>
      <c r="L18" s="47">
        <f t="shared" ca="1" si="6"/>
        <v>0</v>
      </c>
    </row>
    <row r="19" spans="1:12">
      <c r="A19" s="9" t="s">
        <v>392</v>
      </c>
      <c r="B19" s="10" t="s">
        <v>393</v>
      </c>
      <c r="C19" s="19">
        <f ca="1">IF(C17&lt;=0,0,IF(COUNTIF($C17:C17,"&gt;0")&lt;=Assumptions!C95,Assumptions!C93,Assumptions!C94))</f>
        <v>0</v>
      </c>
      <c r="D19" s="19">
        <f ca="1">IF(D17&lt;=0,0,IF(COUNTIF($C17:D17,"&gt;0")&lt;=Assumptions!D95,Assumptions!D93,Assumptions!D94))</f>
        <v>0</v>
      </c>
      <c r="E19" s="19">
        <f ca="1">IF(E17&lt;=0,0,IF(COUNTIF($C17:E17,"&gt;0")&lt;=Assumptions!E95,Assumptions!E93,Assumptions!E94))</f>
        <v>0</v>
      </c>
      <c r="F19" s="19">
        <f ca="1">IF(F17&lt;=0,0,IF(COUNTIF($C17:F17,"&gt;0")&lt;=Assumptions!F95,Assumptions!F93,Assumptions!F94))</f>
        <v>0</v>
      </c>
      <c r="G19" s="19">
        <f ca="1">IF(G17&lt;=0,0,IF(COUNTIF($C17:G17,"&gt;0")&lt;=Assumptions!G95,Assumptions!G93,Assumptions!G94))</f>
        <v>0</v>
      </c>
      <c r="H19" s="19">
        <f ca="1">IF(H17&lt;=0,0,IF(COUNTIF($C17:H17,"&gt;0")&lt;=Assumptions!H95,Assumptions!H93,Assumptions!H94))</f>
        <v>0.15</v>
      </c>
      <c r="I19" s="19">
        <f ca="1">IF(I17&lt;=0,0,IF(COUNTIF($C17:I17,"&gt;0")&lt;=Assumptions!I95,Assumptions!I93,Assumptions!I94))</f>
        <v>0.15</v>
      </c>
      <c r="J19" s="19">
        <f ca="1">IF(J17&lt;=0,0,IF(COUNTIF($C17:J17,"&gt;0")&lt;=Assumptions!J95,Assumptions!J93,Assumptions!J94))</f>
        <v>0.15</v>
      </c>
      <c r="K19" s="19">
        <f ca="1">IF(K17&lt;=0,0,IF(COUNTIF($C17:K17,"&gt;0")&lt;=Assumptions!K95,Assumptions!K93,Assumptions!K94))</f>
        <v>0.15</v>
      </c>
      <c r="L19" s="19">
        <f ca="1">IF(L17&lt;=0,0,IF(COUNTIF($C17:L17,"&gt;0")&lt;=Assumptions!L95,Assumptions!L93,Assumptions!L94))</f>
        <v>0.25</v>
      </c>
    </row>
    <row r="20" spans="1:12">
      <c r="A20" s="9" t="s">
        <v>394</v>
      </c>
      <c r="B20" s="10"/>
      <c r="C20" s="47">
        <f t="shared" ref="C20:L20" ca="1" si="7">-C17*C19</f>
        <v>0</v>
      </c>
      <c r="D20" s="47">
        <f t="shared" ca="1" si="7"/>
        <v>0</v>
      </c>
      <c r="E20" s="47">
        <f t="shared" ca="1" si="7"/>
        <v>0</v>
      </c>
      <c r="F20" s="47">
        <f t="shared" ca="1" si="7"/>
        <v>0</v>
      </c>
      <c r="G20" s="47">
        <f t="shared" ca="1" si="7"/>
        <v>0</v>
      </c>
      <c r="H20" s="47">
        <f t="shared" ca="1" si="7"/>
        <v>-12258.053558334199</v>
      </c>
      <c r="I20" s="47">
        <f t="shared" ca="1" si="7"/>
        <v>-89855.2769544396</v>
      </c>
      <c r="J20" s="47">
        <f t="shared" ca="1" si="7"/>
        <v>-131259.54750633359</v>
      </c>
      <c r="K20" s="47">
        <f t="shared" ca="1" si="7"/>
        <v>-161427.93968889443</v>
      </c>
      <c r="L20" s="47">
        <f t="shared" ca="1" si="7"/>
        <v>-341098.64278469543</v>
      </c>
    </row>
    <row r="21" spans="1:12">
      <c r="A21" s="45" t="s">
        <v>395</v>
      </c>
      <c r="B21" s="37"/>
      <c r="C21" s="46">
        <f t="shared" ref="C21:L21" ca="1" si="8">C13+C20</f>
        <v>-114468.82208353757</v>
      </c>
      <c r="D21" s="46">
        <f t="shared" ca="1" si="8"/>
        <v>-153268.72210085334</v>
      </c>
      <c r="E21" s="46">
        <f t="shared" ca="1" si="8"/>
        <v>-92582.265964395716</v>
      </c>
      <c r="F21" s="46">
        <f t="shared" ca="1" si="8"/>
        <v>10495.354536227707</v>
      </c>
      <c r="G21" s="46">
        <f t="shared" ca="1" si="8"/>
        <v>125249.45768699329</v>
      </c>
      <c r="H21" s="46">
        <f t="shared" ca="1" si="8"/>
        <v>294037.30142279278</v>
      </c>
      <c r="I21" s="46">
        <f t="shared" ca="1" si="8"/>
        <v>509179.90274182439</v>
      </c>
      <c r="J21" s="46">
        <f t="shared" ca="1" si="8"/>
        <v>743804.10253589042</v>
      </c>
      <c r="K21" s="46">
        <f t="shared" ca="1" si="8"/>
        <v>914758.32490373519</v>
      </c>
      <c r="L21" s="46">
        <f t="shared" ca="1" si="8"/>
        <v>1023295.9283540864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4"/>
  <sheetViews>
    <sheetView workbookViewId="0">
      <pane xSplit="2" ySplit="2" topLeftCell="C3" activePane="bottomRight" state="frozen"/>
      <selection pane="bottomRight"/>
      <selection pane="bottomLeft"/>
      <selection pane="topRight"/>
    </sheetView>
  </sheetViews>
  <sheetFormatPr defaultRowHeight="14.45"/>
  <cols>
    <col min="1" max="1" width="44" customWidth="1"/>
    <col min="2" max="2" width="15" customWidth="1"/>
    <col min="3" max="12" width="13" customWidth="1"/>
  </cols>
  <sheetData>
    <row r="1" spans="1:12" ht="17.100000000000001">
      <c r="A1" s="1" t="s">
        <v>396</v>
      </c>
    </row>
    <row r="2" spans="1:12">
      <c r="A2" s="5" t="s">
        <v>54</v>
      </c>
      <c r="B2" s="5" t="s">
        <v>55</v>
      </c>
      <c r="C2" s="6" t="s">
        <v>56</v>
      </c>
      <c r="D2" s="6" t="s">
        <v>57</v>
      </c>
      <c r="E2" s="6" t="s">
        <v>58</v>
      </c>
      <c r="F2" s="6" t="s">
        <v>59</v>
      </c>
      <c r="G2" s="6" t="s">
        <v>60</v>
      </c>
      <c r="H2" s="6" t="s">
        <v>61</v>
      </c>
      <c r="I2" s="6" t="s">
        <v>62</v>
      </c>
      <c r="J2" s="6" t="s">
        <v>63</v>
      </c>
      <c r="K2" s="6" t="s">
        <v>64</v>
      </c>
      <c r="L2" s="6" t="s">
        <v>65</v>
      </c>
    </row>
    <row r="4" spans="1:12">
      <c r="A4" s="9" t="s">
        <v>397</v>
      </c>
      <c r="B4" s="10"/>
      <c r="C4" s="22">
        <f ca="1">'P&amp;L'!C21</f>
        <v>-114468.82208353757</v>
      </c>
      <c r="D4" s="22">
        <f ca="1">'P&amp;L'!D21</f>
        <v>-153268.72210085334</v>
      </c>
      <c r="E4" s="22">
        <f ca="1">'P&amp;L'!E21</f>
        <v>-92582.265964395716</v>
      </c>
      <c r="F4" s="22">
        <f ca="1">'P&amp;L'!F21</f>
        <v>10495.354536227707</v>
      </c>
      <c r="G4" s="22">
        <f ca="1">'P&amp;L'!G21</f>
        <v>125249.45768699329</v>
      </c>
      <c r="H4" s="22">
        <f ca="1">'P&amp;L'!H21</f>
        <v>294037.30142279278</v>
      </c>
      <c r="I4" s="22">
        <f ca="1">'P&amp;L'!I21</f>
        <v>509179.90274182439</v>
      </c>
      <c r="J4" s="22">
        <f ca="1">'P&amp;L'!J21</f>
        <v>743804.10253589042</v>
      </c>
      <c r="K4" s="22">
        <f ca="1">'P&amp;L'!K21</f>
        <v>914758.32490373519</v>
      </c>
      <c r="L4" s="22">
        <f ca="1">'P&amp;L'!L21</f>
        <v>1023295.9283540864</v>
      </c>
    </row>
    <row r="5" spans="1:12">
      <c r="A5" s="9" t="s">
        <v>398</v>
      </c>
      <c r="B5" s="10"/>
      <c r="C5" s="22">
        <f ca="1">WorkingCap!C13</f>
        <v>3800</v>
      </c>
      <c r="D5" s="22">
        <f ca="1">WorkingCap!D13</f>
        <v>11600</v>
      </c>
      <c r="E5" s="22">
        <f ca="1">WorkingCap!E13</f>
        <v>20600</v>
      </c>
      <c r="F5" s="22">
        <f ca="1">WorkingCap!F13</f>
        <v>29600</v>
      </c>
      <c r="G5" s="22">
        <f ca="1">WorkingCap!G13</f>
        <v>48200</v>
      </c>
      <c r="H5" s="22">
        <f ca="1">WorkingCap!H13</f>
        <v>86800</v>
      </c>
      <c r="I5" s="22">
        <f ca="1">WorkingCap!I13</f>
        <v>144000</v>
      </c>
      <c r="J5" s="22">
        <f ca="1">WorkingCap!J13</f>
        <v>207600</v>
      </c>
      <c r="K5" s="22">
        <f ca="1">WorkingCap!K13</f>
        <v>267300</v>
      </c>
      <c r="L5" s="22">
        <f ca="1">WorkingCap!L13</f>
        <v>318900</v>
      </c>
    </row>
    <row r="6" spans="1:12">
      <c r="A6" s="9" t="s">
        <v>399</v>
      </c>
      <c r="B6" s="10"/>
      <c r="C6" s="22">
        <f>-WorkingCap!C9</f>
        <v>9415.3601121575321</v>
      </c>
      <c r="D6" s="22">
        <f>-WorkingCap!D9</f>
        <v>24181.342799431717</v>
      </c>
      <c r="E6" s="22">
        <f>-WorkingCap!E9</f>
        <v>56731.540371100433</v>
      </c>
      <c r="F6" s="22">
        <f>-WorkingCap!F9</f>
        <v>107654.61185276383</v>
      </c>
      <c r="G6" s="22">
        <f>-WorkingCap!G9</f>
        <v>172661.18306192494</v>
      </c>
      <c r="H6" s="22">
        <f>-WorkingCap!H9</f>
        <v>233255.34715279454</v>
      </c>
      <c r="I6" s="22">
        <f>-WorkingCap!I9</f>
        <v>255467.57960545516</v>
      </c>
      <c r="J6" s="22">
        <f>-WorkingCap!J9</f>
        <v>245516.52676943853</v>
      </c>
      <c r="K6" s="22">
        <f>-WorkingCap!K9</f>
        <v>188361.55386167811</v>
      </c>
      <c r="L6" s="22">
        <f>-WorkingCap!L9</f>
        <v>217460.22230369574</v>
      </c>
    </row>
    <row r="7" spans="1:12">
      <c r="A7" s="45" t="s">
        <v>400</v>
      </c>
      <c r="B7" s="37"/>
      <c r="C7" s="46">
        <f t="shared" ref="C7:L7" ca="1" si="0">SUM(C4:C6)</f>
        <v>-101253.46197138003</v>
      </c>
      <c r="D7" s="46">
        <f t="shared" ca="1" si="0"/>
        <v>-117487.37930142162</v>
      </c>
      <c r="E7" s="46">
        <f t="shared" ca="1" si="0"/>
        <v>-15250.725593295283</v>
      </c>
      <c r="F7" s="46">
        <f t="shared" ca="1" si="0"/>
        <v>147749.96638899154</v>
      </c>
      <c r="G7" s="46">
        <f t="shared" ca="1" si="0"/>
        <v>346110.64074891823</v>
      </c>
      <c r="H7" s="46">
        <f t="shared" ca="1" si="0"/>
        <v>614092.64857558731</v>
      </c>
      <c r="I7" s="46">
        <f t="shared" ca="1" si="0"/>
        <v>908647.48234727955</v>
      </c>
      <c r="J7" s="46">
        <f t="shared" ca="1" si="0"/>
        <v>1196920.6293053289</v>
      </c>
      <c r="K7" s="46">
        <f t="shared" ca="1" si="0"/>
        <v>1370419.8787654133</v>
      </c>
      <c r="L7" s="46">
        <f t="shared" ca="1" si="0"/>
        <v>1559656.1506577821</v>
      </c>
    </row>
    <row r="8" spans="1:12">
      <c r="A8" s="9" t="s">
        <v>401</v>
      </c>
      <c r="B8" s="10"/>
      <c r="C8" s="22">
        <f>-WorkingCap!C12</f>
        <v>-11400</v>
      </c>
      <c r="D8" s="22">
        <f>-WorkingCap!D12</f>
        <v>-23400</v>
      </c>
      <c r="E8" s="22">
        <f>-WorkingCap!E12</f>
        <v>-27000</v>
      </c>
      <c r="F8" s="22">
        <f>-WorkingCap!F12</f>
        <v>-38400</v>
      </c>
      <c r="G8" s="22">
        <f>-WorkingCap!G12</f>
        <v>-79200</v>
      </c>
      <c r="H8" s="22">
        <f>-WorkingCap!H12</f>
        <v>-142800</v>
      </c>
      <c r="I8" s="22">
        <f>-WorkingCap!I12</f>
        <v>-210000</v>
      </c>
      <c r="J8" s="22">
        <f>-WorkingCap!J12</f>
        <v>-270000</v>
      </c>
      <c r="K8" s="22">
        <f>-WorkingCap!K12</f>
        <v>-321900</v>
      </c>
      <c r="L8" s="22">
        <f>-WorkingCap!L12</f>
        <v>-364800</v>
      </c>
    </row>
    <row r="9" spans="1:12">
      <c r="A9" s="45" t="s">
        <v>402</v>
      </c>
      <c r="B9" s="37"/>
      <c r="C9" s="46">
        <f t="shared" ref="C9:L9" ca="1" si="1">C7+C8</f>
        <v>-112653.46197138003</v>
      </c>
      <c r="D9" s="46">
        <f t="shared" ca="1" si="1"/>
        <v>-140887.37930142164</v>
      </c>
      <c r="E9" s="46">
        <f t="shared" ca="1" si="1"/>
        <v>-42250.725593295283</v>
      </c>
      <c r="F9" s="46">
        <f t="shared" ca="1" si="1"/>
        <v>109349.96638899154</v>
      </c>
      <c r="G9" s="46">
        <f t="shared" ca="1" si="1"/>
        <v>266910.64074891823</v>
      </c>
      <c r="H9" s="46">
        <f t="shared" ca="1" si="1"/>
        <v>471292.64857558731</v>
      </c>
      <c r="I9" s="46">
        <f t="shared" ca="1" si="1"/>
        <v>698647.48234727955</v>
      </c>
      <c r="J9" s="46">
        <f t="shared" ca="1" si="1"/>
        <v>926920.62930532894</v>
      </c>
      <c r="K9" s="46">
        <f t="shared" ca="1" si="1"/>
        <v>1048519.8787654133</v>
      </c>
      <c r="L9" s="46">
        <f t="shared" ca="1" si="1"/>
        <v>1194856.1506577821</v>
      </c>
    </row>
    <row r="10" spans="1:12">
      <c r="A10" s="9" t="s">
        <v>403</v>
      </c>
      <c r="B10" s="10"/>
      <c r="C10" s="47">
        <f ca="1">C9</f>
        <v>-112653.46197138003</v>
      </c>
      <c r="D10" s="47">
        <f t="shared" ref="D10:L10" ca="1" si="2">C10+D9</f>
        <v>-253540.84127280168</v>
      </c>
      <c r="E10" s="47">
        <f t="shared" ca="1" si="2"/>
        <v>-295791.56686609698</v>
      </c>
      <c r="F10" s="47">
        <f t="shared" ca="1" si="2"/>
        <v>-186441.60047710544</v>
      </c>
      <c r="G10" s="47">
        <f t="shared" ca="1" si="2"/>
        <v>80469.040271812788</v>
      </c>
      <c r="H10" s="47">
        <f t="shared" ca="1" si="2"/>
        <v>551761.68884740013</v>
      </c>
      <c r="I10" s="47">
        <f t="shared" ca="1" si="2"/>
        <v>1250409.1711946796</v>
      </c>
      <c r="J10" s="47">
        <f t="shared" ca="1" si="2"/>
        <v>2177329.8005000083</v>
      </c>
      <c r="K10" s="47">
        <f t="shared" ca="1" si="2"/>
        <v>3225849.6792654218</v>
      </c>
      <c r="L10" s="47">
        <f t="shared" ca="1" si="2"/>
        <v>4420705.8299232041</v>
      </c>
    </row>
    <row r="12" spans="1:12">
      <c r="A12" s="9" t="s">
        <v>404</v>
      </c>
      <c r="B12" s="10" t="s">
        <v>405</v>
      </c>
      <c r="C12" s="22">
        <f>Funding!C4</f>
        <v>150000</v>
      </c>
      <c r="D12" s="22">
        <f>Funding!D4</f>
        <v>250000</v>
      </c>
      <c r="E12" s="22">
        <f>Funding!E4</f>
        <v>0</v>
      </c>
      <c r="F12" s="22">
        <f>Funding!F4</f>
        <v>0</v>
      </c>
      <c r="G12" s="22">
        <f>Funding!G4</f>
        <v>0</v>
      </c>
      <c r="H12" s="22">
        <f>Funding!H4</f>
        <v>1500000</v>
      </c>
      <c r="I12" s="22">
        <f>Funding!I4</f>
        <v>0</v>
      </c>
      <c r="J12" s="22">
        <f>Funding!J4</f>
        <v>0</v>
      </c>
      <c r="K12" s="22">
        <f>Funding!K4</f>
        <v>0</v>
      </c>
      <c r="L12" s="22">
        <f>Funding!L4</f>
        <v>0</v>
      </c>
    </row>
    <row r="13" spans="1:12">
      <c r="A13" s="9" t="s">
        <v>406</v>
      </c>
      <c r="B13" s="10"/>
      <c r="C13" s="47">
        <f>0</f>
        <v>0</v>
      </c>
      <c r="D13" s="47">
        <f t="shared" ref="D13:L13" ca="1" si="3">C14</f>
        <v>37346.538028619965</v>
      </c>
      <c r="E13" s="47">
        <f t="shared" ca="1" si="3"/>
        <v>146459.15872719832</v>
      </c>
      <c r="F13" s="47">
        <f t="shared" ca="1" si="3"/>
        <v>104208.43313390303</v>
      </c>
      <c r="G13" s="47">
        <f t="shared" ca="1" si="3"/>
        <v>213558.39952289459</v>
      </c>
      <c r="H13" s="47">
        <f t="shared" ca="1" si="3"/>
        <v>480469.04027181282</v>
      </c>
      <c r="I13" s="47">
        <f t="shared" ca="1" si="3"/>
        <v>2451761.6888474002</v>
      </c>
      <c r="J13" s="47">
        <f t="shared" ca="1" si="3"/>
        <v>3150409.17119468</v>
      </c>
      <c r="K13" s="47">
        <f t="shared" ca="1" si="3"/>
        <v>4077329.8005000092</v>
      </c>
      <c r="L13" s="47">
        <f t="shared" ca="1" si="3"/>
        <v>5125849.6792654227</v>
      </c>
    </row>
    <row r="14" spans="1:12">
      <c r="A14" s="45" t="s">
        <v>407</v>
      </c>
      <c r="B14" s="37"/>
      <c r="C14" s="46">
        <f t="shared" ref="C14:L14" ca="1" si="4">C13+C9+C12</f>
        <v>37346.538028619965</v>
      </c>
      <c r="D14" s="46">
        <f t="shared" ca="1" si="4"/>
        <v>146459.15872719832</v>
      </c>
      <c r="E14" s="46">
        <f t="shared" ca="1" si="4"/>
        <v>104208.43313390303</v>
      </c>
      <c r="F14" s="46">
        <f t="shared" ca="1" si="4"/>
        <v>213558.39952289459</v>
      </c>
      <c r="G14" s="46">
        <f t="shared" ca="1" si="4"/>
        <v>480469.04027181282</v>
      </c>
      <c r="H14" s="46">
        <f t="shared" ca="1" si="4"/>
        <v>2451761.6888474002</v>
      </c>
      <c r="I14" s="46">
        <f t="shared" ca="1" si="4"/>
        <v>3150409.17119468</v>
      </c>
      <c r="J14" s="46">
        <f t="shared" ca="1" si="4"/>
        <v>4077329.8005000092</v>
      </c>
      <c r="K14" s="46">
        <f t="shared" ca="1" si="4"/>
        <v>5125849.6792654227</v>
      </c>
      <c r="L14" s="46">
        <f t="shared" ca="1" si="4"/>
        <v>6320705.8299232051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0"/>
  <sheetViews>
    <sheetView workbookViewId="0">
      <pane xSplit="2" ySplit="2" topLeftCell="C3" activePane="bottomRight" state="frozen"/>
      <selection pane="bottomRight"/>
      <selection pane="bottomLeft"/>
      <selection pane="topRight"/>
    </sheetView>
  </sheetViews>
  <sheetFormatPr defaultRowHeight="14.45"/>
  <cols>
    <col min="1" max="1" width="44" customWidth="1"/>
    <col min="2" max="2" width="15" customWidth="1"/>
    <col min="3" max="12" width="13" customWidth="1"/>
  </cols>
  <sheetData>
    <row r="1" spans="1:12" ht="17.100000000000001">
      <c r="A1" s="1" t="s">
        <v>408</v>
      </c>
    </row>
    <row r="2" spans="1:12">
      <c r="A2" s="5" t="s">
        <v>54</v>
      </c>
      <c r="B2" s="5" t="s">
        <v>55</v>
      </c>
      <c r="C2" s="6" t="s">
        <v>56</v>
      </c>
      <c r="D2" s="6" t="s">
        <v>57</v>
      </c>
      <c r="E2" s="6" t="s">
        <v>58</v>
      </c>
      <c r="F2" s="6" t="s">
        <v>59</v>
      </c>
      <c r="G2" s="6" t="s">
        <v>60</v>
      </c>
      <c r="H2" s="6" t="s">
        <v>61</v>
      </c>
      <c r="I2" s="6" t="s">
        <v>62</v>
      </c>
      <c r="J2" s="6" t="s">
        <v>63</v>
      </c>
      <c r="K2" s="6" t="s">
        <v>64</v>
      </c>
      <c r="L2" s="6" t="s">
        <v>65</v>
      </c>
    </row>
    <row r="4" spans="1:12">
      <c r="A4" s="7" t="s">
        <v>409</v>
      </c>
      <c r="B4" s="8"/>
      <c r="C4" s="8"/>
      <c r="D4" s="8"/>
      <c r="E4" s="8"/>
      <c r="F4" s="8"/>
      <c r="G4" s="8"/>
      <c r="H4" s="8"/>
      <c r="I4" s="8"/>
      <c r="J4" s="8"/>
      <c r="K4" s="8"/>
      <c r="L4" s="8"/>
    </row>
    <row r="5" spans="1:12">
      <c r="A5" s="9" t="s">
        <v>410</v>
      </c>
      <c r="B5" s="10"/>
      <c r="C5" s="22">
        <f ca="1">CashFlow!C14</f>
        <v>37346.538028619965</v>
      </c>
      <c r="D5" s="22">
        <f ca="1">CashFlow!D14</f>
        <v>146459.15872719832</v>
      </c>
      <c r="E5" s="22">
        <f ca="1">CashFlow!E14</f>
        <v>104208.43313390303</v>
      </c>
      <c r="F5" s="22">
        <f ca="1">CashFlow!F14</f>
        <v>213558.39952289459</v>
      </c>
      <c r="G5" s="22">
        <f ca="1">CashFlow!G14</f>
        <v>480469.04027181282</v>
      </c>
      <c r="H5" s="22">
        <f ca="1">CashFlow!H14</f>
        <v>2451761.6888474002</v>
      </c>
      <c r="I5" s="22">
        <f ca="1">CashFlow!I14</f>
        <v>3150409.17119468</v>
      </c>
      <c r="J5" s="22">
        <f ca="1">CashFlow!J14</f>
        <v>4077329.8005000092</v>
      </c>
      <c r="K5" s="22">
        <f ca="1">CashFlow!K14</f>
        <v>5125849.6792654227</v>
      </c>
      <c r="L5" s="22">
        <f ca="1">CashFlow!L14</f>
        <v>6320705.8299232051</v>
      </c>
    </row>
    <row r="6" spans="1:12">
      <c r="A6" s="9" t="s">
        <v>363</v>
      </c>
      <c r="B6" s="10"/>
      <c r="C6" s="22">
        <f>WorkingCap!C5</f>
        <v>264.62219178082199</v>
      </c>
      <c r="D6" s="22">
        <f>WorkingCap!D5</f>
        <v>2111.1958060273969</v>
      </c>
      <c r="E6" s="22">
        <f>WorkingCap!E5</f>
        <v>12639.071099967125</v>
      </c>
      <c r="F6" s="22">
        <f>WorkingCap!F5</f>
        <v>37945.692937223008</v>
      </c>
      <c r="G6" s="22">
        <f>WorkingCap!G5</f>
        <v>78601.180110904112</v>
      </c>
      <c r="H6" s="22">
        <f>WorkingCap!H5</f>
        <v>134358.01020493149</v>
      </c>
      <c r="I6" s="22">
        <f>WorkingCap!I5</f>
        <v>194450.08094334244</v>
      </c>
      <c r="J6" s="22">
        <f>WorkingCap!J5</f>
        <v>251186.91165843289</v>
      </c>
      <c r="K6" s="22">
        <f>WorkingCap!K5</f>
        <v>293181.81878847122</v>
      </c>
      <c r="L6" s="22">
        <f>WorkingCap!L5</f>
        <v>348474.05140865757</v>
      </c>
    </row>
    <row r="7" spans="1:12">
      <c r="A7" s="9" t="s">
        <v>375</v>
      </c>
      <c r="B7" s="10"/>
      <c r="C7" s="22">
        <f ca="1">WorkingCap!C14</f>
        <v>7600</v>
      </c>
      <c r="D7" s="22">
        <f ca="1">WorkingCap!D14</f>
        <v>19400</v>
      </c>
      <c r="E7" s="22">
        <f ca="1">WorkingCap!E14</f>
        <v>25800</v>
      </c>
      <c r="F7" s="22">
        <f ca="1">WorkingCap!F14</f>
        <v>34600</v>
      </c>
      <c r="G7" s="22">
        <f ca="1">WorkingCap!G14</f>
        <v>65600</v>
      </c>
      <c r="H7" s="22">
        <f ca="1">WorkingCap!H14</f>
        <v>121600</v>
      </c>
      <c r="I7" s="22">
        <f ca="1">WorkingCap!I14</f>
        <v>187600</v>
      </c>
      <c r="J7" s="22">
        <f ca="1">WorkingCap!J14</f>
        <v>250000</v>
      </c>
      <c r="K7" s="22">
        <f ca="1">WorkingCap!K14</f>
        <v>304600</v>
      </c>
      <c r="L7" s="22">
        <f ca="1">WorkingCap!L14</f>
        <v>350500</v>
      </c>
    </row>
    <row r="8" spans="1:12">
      <c r="A8" s="45" t="s">
        <v>411</v>
      </c>
      <c r="B8" s="37"/>
      <c r="C8" s="46">
        <f t="shared" ref="C8:L8" ca="1" si="0">SUM(C5:C7)</f>
        <v>45211.160220400787</v>
      </c>
      <c r="D8" s="46">
        <f t="shared" ca="1" si="0"/>
        <v>167970.35453322571</v>
      </c>
      <c r="E8" s="46">
        <f t="shared" ca="1" si="0"/>
        <v>142647.50423387016</v>
      </c>
      <c r="F8" s="46">
        <f t="shared" ca="1" si="0"/>
        <v>286104.09246011759</v>
      </c>
      <c r="G8" s="46">
        <f t="shared" ca="1" si="0"/>
        <v>624670.22038271697</v>
      </c>
      <c r="H8" s="46">
        <f t="shared" ca="1" si="0"/>
        <v>2707719.699052332</v>
      </c>
      <c r="I8" s="46">
        <f t="shared" ca="1" si="0"/>
        <v>3532459.2521380223</v>
      </c>
      <c r="J8" s="46">
        <f t="shared" ca="1" si="0"/>
        <v>4578516.7121584425</v>
      </c>
      <c r="K8" s="46">
        <f t="shared" ca="1" si="0"/>
        <v>5723631.4980538944</v>
      </c>
      <c r="L8" s="46">
        <f t="shared" ca="1" si="0"/>
        <v>7019679.8813318629</v>
      </c>
    </row>
    <row r="10" spans="1:12">
      <c r="A10" s="7" t="s">
        <v>412</v>
      </c>
      <c r="B10" s="8"/>
      <c r="C10" s="8"/>
      <c r="D10" s="8"/>
      <c r="E10" s="8"/>
      <c r="F10" s="8"/>
      <c r="G10" s="8"/>
      <c r="H10" s="8"/>
      <c r="I10" s="8"/>
      <c r="J10" s="8"/>
      <c r="K10" s="8"/>
      <c r="L10" s="8"/>
    </row>
    <row r="11" spans="1:12">
      <c r="A11" s="9" t="s">
        <v>175</v>
      </c>
      <c r="B11" s="10"/>
      <c r="C11" s="22">
        <f>WorkingCap!C6</f>
        <v>688.81849315068507</v>
      </c>
      <c r="D11" s="22">
        <f>WorkingCap!D6</f>
        <v>21062.538239964961</v>
      </c>
      <c r="E11" s="22">
        <f>WorkingCap!E6</f>
        <v>82246.269714421927</v>
      </c>
      <c r="F11" s="22">
        <f>WorkingCap!F6</f>
        <v>200719.68362486866</v>
      </c>
      <c r="G11" s="22">
        <f>WorkingCap!G6</f>
        <v>389531.04492725537</v>
      </c>
      <c r="H11" s="22">
        <f>WorkingCap!H6</f>
        <v>650150.80252310715</v>
      </c>
      <c r="I11" s="22">
        <f>WorkingCap!I6</f>
        <v>943175.4473944878</v>
      </c>
      <c r="J11" s="22">
        <f>WorkingCap!J6</f>
        <v>1224980.905769282</v>
      </c>
      <c r="K11" s="22">
        <f>WorkingCap!K6</f>
        <v>1438073.2690103112</v>
      </c>
      <c r="L11" s="22">
        <f>WorkingCap!L6</f>
        <v>1696540.2813951189</v>
      </c>
    </row>
    <row r="12" spans="1:12">
      <c r="A12" s="9" t="s">
        <v>366</v>
      </c>
      <c r="B12" s="10"/>
      <c r="C12" s="22">
        <f>WorkingCap!C7</f>
        <v>8991.1638107876697</v>
      </c>
      <c r="D12" s="22">
        <f>WorkingCap!D7</f>
        <v>14645.36047765169</v>
      </c>
      <c r="E12" s="22">
        <f>WorkingCap!E7</f>
        <v>20721.044668234888</v>
      </c>
      <c r="F12" s="22">
        <f>WorkingCap!F7</f>
        <v>35208.864447807871</v>
      </c>
      <c r="G12" s="22">
        <f>WorkingCap!G7</f>
        <v>59714.173381027198</v>
      </c>
      <c r="H12" s="22">
        <f>WorkingCap!H7</f>
        <v>88106.593031997341</v>
      </c>
      <c r="I12" s="22">
        <f>WorkingCap!I7</f>
        <v>110641.59850448272</v>
      </c>
      <c r="J12" s="22">
        <f>WorkingCap!J7</f>
        <v>131089.49761421749</v>
      </c>
      <c r="K12" s="22">
        <f>WorkingCap!K7</f>
        <v>148353.59536490476</v>
      </c>
      <c r="L12" s="22">
        <f>WorkingCap!L7</f>
        <v>162639.03790397916</v>
      </c>
    </row>
    <row r="13" spans="1:12">
      <c r="A13" s="45" t="s">
        <v>413</v>
      </c>
      <c r="B13" s="37"/>
      <c r="C13" s="46">
        <f t="shared" ref="C13:L13" si="1">C11+C12</f>
        <v>9679.9823039383555</v>
      </c>
      <c r="D13" s="46">
        <f t="shared" si="1"/>
        <v>35707.898717616648</v>
      </c>
      <c r="E13" s="46">
        <f t="shared" si="1"/>
        <v>102967.31438265681</v>
      </c>
      <c r="F13" s="46">
        <f t="shared" si="1"/>
        <v>235928.54807267652</v>
      </c>
      <c r="G13" s="46">
        <f t="shared" si="1"/>
        <v>449245.21830828255</v>
      </c>
      <c r="H13" s="46">
        <f t="shared" si="1"/>
        <v>738257.39555510448</v>
      </c>
      <c r="I13" s="46">
        <f t="shared" si="1"/>
        <v>1053817.0458989704</v>
      </c>
      <c r="J13" s="46">
        <f t="shared" si="1"/>
        <v>1356070.4033834995</v>
      </c>
      <c r="K13" s="46">
        <f t="shared" si="1"/>
        <v>1586426.864375216</v>
      </c>
      <c r="L13" s="46">
        <f t="shared" si="1"/>
        <v>1859179.3192990981</v>
      </c>
    </row>
    <row r="15" spans="1:12">
      <c r="A15" s="7" t="s">
        <v>414</v>
      </c>
      <c r="B15" s="8"/>
      <c r="C15" s="8"/>
      <c r="D15" s="8"/>
      <c r="E15" s="8"/>
      <c r="F15" s="8"/>
      <c r="G15" s="8"/>
      <c r="H15" s="8"/>
      <c r="I15" s="8"/>
      <c r="J15" s="8"/>
      <c r="K15" s="8"/>
      <c r="L15" s="8"/>
    </row>
    <row r="16" spans="1:12">
      <c r="A16" s="9" t="s">
        <v>415</v>
      </c>
      <c r="B16" s="10"/>
      <c r="C16" s="22">
        <f>Funding!C4</f>
        <v>150000</v>
      </c>
      <c r="D16" s="22">
        <f>C16+Funding!D4</f>
        <v>400000</v>
      </c>
      <c r="E16" s="22">
        <f>D16+Funding!E4</f>
        <v>400000</v>
      </c>
      <c r="F16" s="22">
        <f>E16+Funding!F4</f>
        <v>400000</v>
      </c>
      <c r="G16" s="22">
        <f>F16+Funding!G4</f>
        <v>400000</v>
      </c>
      <c r="H16" s="22">
        <f>G16+Funding!H4</f>
        <v>1900000</v>
      </c>
      <c r="I16" s="22">
        <f>H16+Funding!I4</f>
        <v>1900000</v>
      </c>
      <c r="J16" s="22">
        <f>I16+Funding!J4</f>
        <v>1900000</v>
      </c>
      <c r="K16" s="22">
        <f>J16+Funding!K4</f>
        <v>1900000</v>
      </c>
      <c r="L16" s="22">
        <f>K16+Funding!L4</f>
        <v>1900000</v>
      </c>
    </row>
    <row r="17" spans="1:12">
      <c r="A17" s="9" t="s">
        <v>416</v>
      </c>
      <c r="B17" s="10"/>
      <c r="C17" s="22">
        <f ca="1">'P&amp;L'!C21</f>
        <v>-114468.82208353757</v>
      </c>
      <c r="D17" s="22">
        <f ca="1">C17+'P&amp;L'!D21</f>
        <v>-267737.54418439092</v>
      </c>
      <c r="E17" s="22">
        <f ca="1">D17+'P&amp;L'!E21</f>
        <v>-360319.81014878664</v>
      </c>
      <c r="F17" s="22">
        <f ca="1">E17+'P&amp;L'!F21</f>
        <v>-349824.45561255893</v>
      </c>
      <c r="G17" s="22">
        <f ca="1">F17+'P&amp;L'!G21</f>
        <v>-224574.99792556564</v>
      </c>
      <c r="H17" s="22">
        <f ca="1">G17+'P&amp;L'!H21</f>
        <v>69462.303497227142</v>
      </c>
      <c r="I17" s="22">
        <f ca="1">H17+'P&amp;L'!I21</f>
        <v>578642.20623905153</v>
      </c>
      <c r="J17" s="22">
        <f ca="1">I17+'P&amp;L'!J21</f>
        <v>1322446.3087749421</v>
      </c>
      <c r="K17" s="22">
        <f ca="1">J17+'P&amp;L'!K21</f>
        <v>2237204.6336786775</v>
      </c>
      <c r="L17" s="22">
        <f ca="1">K17+'P&amp;L'!L21</f>
        <v>3260500.5620327638</v>
      </c>
    </row>
    <row r="18" spans="1:12">
      <c r="A18" s="45" t="s">
        <v>417</v>
      </c>
      <c r="B18" s="37"/>
      <c r="C18" s="46">
        <f t="shared" ref="C18:L18" ca="1" si="2">C16+C17</f>
        <v>35531.177916462431</v>
      </c>
      <c r="D18" s="46">
        <f t="shared" ca="1" si="2"/>
        <v>132262.45581560908</v>
      </c>
      <c r="E18" s="46">
        <f t="shared" ca="1" si="2"/>
        <v>39680.189851213363</v>
      </c>
      <c r="F18" s="46">
        <f t="shared" ca="1" si="2"/>
        <v>50175.54438744107</v>
      </c>
      <c r="G18" s="46">
        <f t="shared" ca="1" si="2"/>
        <v>175425.00207443436</v>
      </c>
      <c r="H18" s="46">
        <f t="shared" ca="1" si="2"/>
        <v>1969462.3034972271</v>
      </c>
      <c r="I18" s="46">
        <f t="shared" ca="1" si="2"/>
        <v>2478642.2062390517</v>
      </c>
      <c r="J18" s="46">
        <f t="shared" ca="1" si="2"/>
        <v>3222446.3087749421</v>
      </c>
      <c r="K18" s="46">
        <f t="shared" ca="1" si="2"/>
        <v>4137204.6336786775</v>
      </c>
      <c r="L18" s="46">
        <f t="shared" ca="1" si="2"/>
        <v>5160500.5620327638</v>
      </c>
    </row>
    <row r="19" spans="1:12">
      <c r="A19" s="36" t="s">
        <v>418</v>
      </c>
      <c r="B19" s="37"/>
      <c r="C19" s="43">
        <f t="shared" ref="C19:L19" ca="1" si="3">C13+C18</f>
        <v>45211.160220400787</v>
      </c>
      <c r="D19" s="43">
        <f t="shared" ca="1" si="3"/>
        <v>167970.35453322573</v>
      </c>
      <c r="E19" s="43">
        <f t="shared" ca="1" si="3"/>
        <v>142647.50423387019</v>
      </c>
      <c r="F19" s="43">
        <f t="shared" ca="1" si="3"/>
        <v>286104.09246011759</v>
      </c>
      <c r="G19" s="43">
        <f t="shared" ca="1" si="3"/>
        <v>624670.22038271697</v>
      </c>
      <c r="H19" s="43">
        <f t="shared" ca="1" si="3"/>
        <v>2707719.6990523315</v>
      </c>
      <c r="I19" s="43">
        <f t="shared" ca="1" si="3"/>
        <v>3532459.2521380223</v>
      </c>
      <c r="J19" s="43">
        <f t="shared" ca="1" si="3"/>
        <v>4578516.7121584415</v>
      </c>
      <c r="K19" s="43">
        <f t="shared" ca="1" si="3"/>
        <v>5723631.4980538934</v>
      </c>
      <c r="L19" s="43">
        <f t="shared" ca="1" si="3"/>
        <v>7019679.881331862</v>
      </c>
    </row>
    <row r="20" spans="1:12">
      <c r="A20" s="45" t="s">
        <v>419</v>
      </c>
      <c r="B20" s="37" t="s">
        <v>420</v>
      </c>
      <c r="C20" s="50">
        <f t="shared" ref="C20:L20" ca="1" si="4">ROUND(C8-C19,2)</f>
        <v>0</v>
      </c>
      <c r="D20" s="50">
        <f t="shared" ca="1" si="4"/>
        <v>0</v>
      </c>
      <c r="E20" s="50">
        <f t="shared" ca="1" si="4"/>
        <v>0</v>
      </c>
      <c r="F20" s="50">
        <f t="shared" ca="1" si="4"/>
        <v>0</v>
      </c>
      <c r="G20" s="50">
        <f t="shared" ca="1" si="4"/>
        <v>0</v>
      </c>
      <c r="H20" s="50">
        <f t="shared" ca="1" si="4"/>
        <v>0</v>
      </c>
      <c r="I20" s="50">
        <f t="shared" ca="1" si="4"/>
        <v>0</v>
      </c>
      <c r="J20" s="50">
        <f t="shared" ca="1" si="4"/>
        <v>0</v>
      </c>
      <c r="K20" s="50">
        <f t="shared" ca="1" si="4"/>
        <v>0</v>
      </c>
      <c r="L20" s="50">
        <f t="shared" ca="1" si="4"/>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32"/>
  <sheetViews>
    <sheetView workbookViewId="0">
      <pane xSplit="2" ySplit="2" topLeftCell="C3" activePane="bottomRight" state="frozen"/>
      <selection pane="bottomRight"/>
      <selection pane="bottomLeft"/>
      <selection pane="topRight"/>
    </sheetView>
  </sheetViews>
  <sheetFormatPr defaultRowHeight="14.45"/>
  <cols>
    <col min="1" max="1" width="44" customWidth="1"/>
    <col min="2" max="2" width="15" customWidth="1"/>
    <col min="3" max="12" width="13" customWidth="1"/>
  </cols>
  <sheetData>
    <row r="1" spans="1:12" ht="17.100000000000001">
      <c r="A1" s="1" t="s">
        <v>421</v>
      </c>
    </row>
    <row r="2" spans="1:12">
      <c r="A2" s="5" t="s">
        <v>54</v>
      </c>
      <c r="B2" s="5" t="s">
        <v>55</v>
      </c>
      <c r="C2" s="6" t="s">
        <v>56</v>
      </c>
      <c r="D2" s="6" t="s">
        <v>57</v>
      </c>
      <c r="E2" s="6" t="s">
        <v>58</v>
      </c>
      <c r="F2" s="6" t="s">
        <v>59</v>
      </c>
      <c r="G2" s="6" t="s">
        <v>60</v>
      </c>
      <c r="H2" s="6" t="s">
        <v>61</v>
      </c>
      <c r="I2" s="6" t="s">
        <v>62</v>
      </c>
      <c r="J2" s="6" t="s">
        <v>63</v>
      </c>
      <c r="K2" s="6" t="s">
        <v>64</v>
      </c>
      <c r="L2" s="6" t="s">
        <v>65</v>
      </c>
    </row>
    <row r="4" spans="1:12">
      <c r="A4" s="9" t="s">
        <v>422</v>
      </c>
      <c r="B4" s="10" t="s">
        <v>79</v>
      </c>
      <c r="C4" s="22">
        <f ca="1">CashFlow!C9</f>
        <v>-112653.46197138003</v>
      </c>
      <c r="D4" s="22">
        <f ca="1">CashFlow!D9</f>
        <v>-140887.37930142164</v>
      </c>
      <c r="E4" s="22">
        <f ca="1">CashFlow!E9</f>
        <v>-42250.725593295283</v>
      </c>
      <c r="F4" s="22">
        <f ca="1">CashFlow!F9</f>
        <v>109349.96638899154</v>
      </c>
      <c r="G4" s="22">
        <f ca="1">CashFlow!G9</f>
        <v>266910.64074891823</v>
      </c>
      <c r="H4" s="22">
        <f ca="1">CashFlow!H9</f>
        <v>471292.64857558731</v>
      </c>
      <c r="I4" s="22">
        <f ca="1">CashFlow!I9</f>
        <v>698647.48234727955</v>
      </c>
      <c r="J4" s="22">
        <f ca="1">CashFlow!J9</f>
        <v>926920.62930532894</v>
      </c>
      <c r="K4" s="22">
        <f ca="1">CashFlow!K9</f>
        <v>1048519.8787654133</v>
      </c>
      <c r="L4" s="22">
        <f ca="1">CashFlow!L9</f>
        <v>1194856.1506577821</v>
      </c>
    </row>
    <row r="5" spans="1:12">
      <c r="A5" s="9" t="s">
        <v>423</v>
      </c>
      <c r="B5" s="10" t="s">
        <v>424</v>
      </c>
      <c r="C5" s="40">
        <f>1/(1+Assumptions!$C$110)^1</f>
        <v>0.8</v>
      </c>
      <c r="D5" s="40">
        <f>1/(1+Assumptions!$C$110)^2</f>
        <v>0.64</v>
      </c>
      <c r="E5" s="40">
        <f>1/(1+Assumptions!$C$110)^3</f>
        <v>0.51200000000000001</v>
      </c>
      <c r="F5" s="40">
        <f>1/(1+Assumptions!$C$110)^4</f>
        <v>0.40960000000000002</v>
      </c>
      <c r="G5" s="40">
        <f>1/(1+Assumptions!$C$110)^5</f>
        <v>0.32768000000000003</v>
      </c>
      <c r="H5" s="40">
        <f>1/(1+Assumptions!$C$110)^6</f>
        <v>0.26214399999999999</v>
      </c>
      <c r="I5" s="40">
        <f>1/(1+Assumptions!$C$110)^7</f>
        <v>0.20971519999999999</v>
      </c>
      <c r="J5" s="40">
        <f>1/(1+Assumptions!$C$110)^8</f>
        <v>0.16777216</v>
      </c>
      <c r="K5" s="40">
        <f>1/(1+Assumptions!$C$110)^9</f>
        <v>0.13421772800000001</v>
      </c>
      <c r="L5" s="40">
        <f>1/(1+Assumptions!$C$110)^10</f>
        <v>0.1073741824</v>
      </c>
    </row>
    <row r="6" spans="1:12">
      <c r="A6" s="36" t="s">
        <v>425</v>
      </c>
      <c r="B6" s="37" t="s">
        <v>79</v>
      </c>
      <c r="C6" s="43">
        <f t="shared" ref="C6:L6" ca="1" si="0">C4*C5</f>
        <v>-90122.769577104031</v>
      </c>
      <c r="D6" s="43">
        <f t="shared" ca="1" si="0"/>
        <v>-90167.922752909843</v>
      </c>
      <c r="E6" s="43">
        <f t="shared" ca="1" si="0"/>
        <v>-21632.371503767186</v>
      </c>
      <c r="F6" s="43">
        <f t="shared" ca="1" si="0"/>
        <v>44789.746232930935</v>
      </c>
      <c r="G6" s="43">
        <f t="shared" ca="1" si="0"/>
        <v>87461.278760605535</v>
      </c>
      <c r="H6" s="43">
        <f t="shared" ca="1" si="0"/>
        <v>123546.54006819875</v>
      </c>
      <c r="I6" s="43">
        <f t="shared" ca="1" si="0"/>
        <v>146516.99648995619</v>
      </c>
      <c r="J6" s="43">
        <f t="shared" ca="1" si="0"/>
        <v>155511.47612711435</v>
      </c>
      <c r="K6" s="43">
        <f t="shared" ca="1" si="0"/>
        <v>140729.95589072924</v>
      </c>
      <c r="L6" s="43">
        <f t="shared" ca="1" si="0"/>
        <v>128296.70226249058</v>
      </c>
    </row>
    <row r="8" spans="1:12">
      <c r="A8" s="9" t="s">
        <v>426</v>
      </c>
      <c r="B8" s="10" t="s">
        <v>427</v>
      </c>
      <c r="C8" s="47">
        <f ca="1">C4+IF(1=10,$C$11,0)</f>
        <v>-112653.46197138003</v>
      </c>
      <c r="D8" s="47">
        <f ca="1">D4+IF(2=10,$C$11,0)</f>
        <v>-140887.37930142164</v>
      </c>
      <c r="E8" s="47">
        <f ca="1">E4+IF(3=10,$C$11,0)</f>
        <v>-42250.725593295283</v>
      </c>
      <c r="F8" s="47">
        <f ca="1">F4+IF(4=10,$C$11,0)</f>
        <v>109349.96638899154</v>
      </c>
      <c r="G8" s="47">
        <f ca="1">G4+IF(5=10,$C$11,0)</f>
        <v>266910.64074891823</v>
      </c>
      <c r="H8" s="47">
        <f ca="1">H4+IF(6=10,$C$11,0)</f>
        <v>471292.64857558731</v>
      </c>
      <c r="I8" s="47">
        <f ca="1">I4+IF(7=10,$C$11,0)</f>
        <v>698647.48234727955</v>
      </c>
      <c r="J8" s="47">
        <f ca="1">J4+IF(8=10,$C$11,0)</f>
        <v>926920.62930532894</v>
      </c>
      <c r="K8" s="47">
        <f ca="1">K4+IF(9=10,$C$11,0)</f>
        <v>1048519.8787654133</v>
      </c>
      <c r="L8" s="47">
        <f ca="1">L4+IF(10=10,$C$11,0)</f>
        <v>6788955.4014646718</v>
      </c>
    </row>
    <row r="9" spans="1:12">
      <c r="A9" s="7" t="s">
        <v>428</v>
      </c>
      <c r="B9" s="8"/>
      <c r="C9" s="8"/>
      <c r="D9" s="8"/>
      <c r="E9" s="8"/>
      <c r="F9" s="8"/>
      <c r="G9" s="8"/>
      <c r="H9" s="8"/>
      <c r="I9" s="8"/>
      <c r="J9" s="8"/>
      <c r="K9" s="8"/>
      <c r="L9" s="8"/>
    </row>
    <row r="10" spans="1:12">
      <c r="A10" s="9" t="s">
        <v>429</v>
      </c>
      <c r="C10" s="51">
        <f ca="1">SUM(C6:L6)</f>
        <v>624929.63199824444</v>
      </c>
    </row>
    <row r="11" spans="1:12">
      <c r="A11" s="9" t="s">
        <v>430</v>
      </c>
      <c r="C11" s="51">
        <f ca="1">L4*(1+Assumptions!$C$111)/(Assumptions!$C$110-Assumptions!$C$111)</f>
        <v>5594099.2508068895</v>
      </c>
    </row>
    <row r="12" spans="1:12">
      <c r="A12" s="9" t="s">
        <v>431</v>
      </c>
      <c r="C12" s="51">
        <f ca="1">C11*L5</f>
        <v>600661.83331984235</v>
      </c>
    </row>
    <row r="13" spans="1:12">
      <c r="A13" s="2" t="s">
        <v>432</v>
      </c>
      <c r="C13" s="51">
        <f ca="1">C10+C12</f>
        <v>1225591.4653180868</v>
      </c>
    </row>
    <row r="15" spans="1:12">
      <c r="A15" s="7" t="s">
        <v>433</v>
      </c>
      <c r="B15" s="8"/>
      <c r="C15" s="8"/>
      <c r="D15" s="8"/>
      <c r="E15" s="8"/>
      <c r="F15" s="8"/>
      <c r="G15" s="8"/>
      <c r="H15" s="8"/>
      <c r="I15" s="8"/>
      <c r="J15" s="8"/>
      <c r="K15" s="8"/>
      <c r="L15" s="8"/>
    </row>
    <row r="16" spans="1:12">
      <c r="A16" s="9" t="s">
        <v>434</v>
      </c>
      <c r="C16" s="51">
        <f ca="1">NPV(Assumptions!$C$110,C4:L4)</f>
        <v>624929.63199824444</v>
      </c>
    </row>
    <row r="17" spans="1:12">
      <c r="A17" s="9" t="s">
        <v>435</v>
      </c>
      <c r="C17" s="52">
        <f ca="1">IRR(C4:L4)</f>
        <v>0.61845153636190253</v>
      </c>
    </row>
    <row r="18" spans="1:12">
      <c r="A18" s="9" t="s">
        <v>436</v>
      </c>
      <c r="C18" s="52">
        <f ca="1">IRR(C8:L8,0.3)</f>
        <v>0.70150511772710322</v>
      </c>
    </row>
    <row r="20" spans="1:12">
      <c r="A20" s="7" t="s">
        <v>437</v>
      </c>
      <c r="B20" s="8"/>
      <c r="C20" s="8"/>
      <c r="D20" s="8"/>
      <c r="E20" s="8"/>
      <c r="F20" s="8"/>
      <c r="G20" s="8"/>
      <c r="H20" s="8"/>
      <c r="I20" s="8"/>
      <c r="J20" s="8"/>
      <c r="K20" s="8"/>
      <c r="L20" s="8"/>
    </row>
    <row r="21" spans="1:12">
      <c r="A21" s="9" t="s">
        <v>438</v>
      </c>
      <c r="C21" s="51">
        <f>Revenue!L26</f>
        <v>5253768.6322090337</v>
      </c>
    </row>
    <row r="22" spans="1:12">
      <c r="A22" s="9" t="s">
        <v>439</v>
      </c>
      <c r="C22" s="51">
        <f>C21*Assumptions!$C$112</f>
        <v>34149496.10935872</v>
      </c>
    </row>
    <row r="23" spans="1:12">
      <c r="A23" s="9" t="s">
        <v>440</v>
      </c>
      <c r="C23" s="51">
        <f>C22*L5</f>
        <v>3666774.2241143738</v>
      </c>
    </row>
    <row r="25" spans="1:12">
      <c r="A25" s="7" t="s">
        <v>441</v>
      </c>
      <c r="B25" s="8"/>
      <c r="C25" s="8"/>
      <c r="D25" s="8"/>
      <c r="E25" s="8"/>
      <c r="F25" s="8"/>
      <c r="G25" s="8"/>
      <c r="H25" s="8"/>
      <c r="I25" s="8"/>
      <c r="J25" s="8"/>
      <c r="K25" s="8"/>
      <c r="L25" s="8"/>
    </row>
    <row r="26" spans="1:12">
      <c r="A26" s="2" t="s">
        <v>442</v>
      </c>
      <c r="C26" s="53">
        <v>0.18</v>
      </c>
      <c r="D26" s="53">
        <v>0.2</v>
      </c>
      <c r="E26" s="53">
        <v>0.22</v>
      </c>
      <c r="F26" s="53">
        <v>0.25</v>
      </c>
      <c r="G26" s="53">
        <v>0.28000000000000003</v>
      </c>
      <c r="H26" s="53">
        <v>0.3</v>
      </c>
    </row>
    <row r="27" spans="1:12">
      <c r="A27" s="54">
        <v>0.01</v>
      </c>
      <c r="C27" s="55">
        <f ca="1">CashFlow!C9/(1+C$26)^1+CashFlow!D9/(1+C$26)^2+CashFlow!E9/(1+C$26)^3+CashFlow!F9/(1+C$26)^4+CashFlow!G9/(1+C$26)^5+CashFlow!H9/(1+C$26)^6+CashFlow!I9/(1+C$26)^7+CashFlow!J9/(1+C$26)^8+CashFlow!K9/(1+C$26)^9+CashFlow!L9/(1+C$26)^10+CashFlow!L9*(1+$A27)/(C$26-$A27)/(1+C$26)^10</f>
        <v>2412232.1559273871</v>
      </c>
      <c r="D27" s="55">
        <f ca="1">CashFlow!C9/(1+D$26)^1+CashFlow!D9/(1+D$26)^2+CashFlow!E9/(1+D$26)^3+CashFlow!F9/(1+D$26)^4+CashFlow!G9/(1+D$26)^5+CashFlow!H9/(1+D$26)^6+CashFlow!I9/(1+D$26)^7+CashFlow!J9/(1+D$26)^8+CashFlow!K9/(1+D$26)^9+CashFlow!L9/(1+D$26)^10+CashFlow!L9*(1+$A27)/(D$26-$A27)/(1+D$26)^10</f>
        <v>1934225.104628931</v>
      </c>
      <c r="E27" s="55">
        <f ca="1">CashFlow!C9/(1+E$26)^1+CashFlow!D9/(1+E$26)^2+CashFlow!E9/(1+E$26)^3+CashFlow!F9/(1+E$26)^4+CashFlow!G9/(1+E$26)^5+CashFlow!H9/(1+E$26)^6+CashFlow!I9/(1+E$26)^7+CashFlow!J9/(1+E$26)^8+CashFlow!K9/(1+E$26)^9+CashFlow!L9/(1+E$26)^10+CashFlow!L9*(1+$A27)/(E$26-$A27)/(1+E$26)^10</f>
        <v>1568747.2206539046</v>
      </c>
      <c r="F27" s="55">
        <f ca="1">CashFlow!C9/(1+F$26)^1+CashFlow!D9/(1+F$26)^2+CashFlow!E9/(1+F$26)^3+CashFlow!F9/(1+F$26)^4+CashFlow!G9/(1+F$26)^5+CashFlow!H9/(1+F$26)^6+CashFlow!I9/(1+F$26)^7+CashFlow!J9/(1+F$26)^8+CashFlow!K9/(1+F$26)^9+CashFlow!L9/(1+F$26)^10+CashFlow!L9*(1+$A27)/(F$26-$A27)/(1+F$26)^10</f>
        <v>1164844.9206862256</v>
      </c>
      <c r="G27" s="55">
        <f ca="1">CashFlow!C9/(1+G$26)^1+CashFlow!D9/(1+G$26)^2+CashFlow!E9/(1+G$26)^3+CashFlow!F9/(1+G$26)^4+CashFlow!G9/(1+G$26)^5+CashFlow!H9/(1+G$26)^6+CashFlow!I9/(1+G$26)^7+CashFlow!J9/(1+G$26)^8+CashFlow!K9/(1+G$26)^9+CashFlow!L9/(1+G$26)^10+CashFlow!L9*(1+$A27)/(G$26-$A27)/(1+G$26)^10</f>
        <v>877652.37506430037</v>
      </c>
      <c r="H27" s="55">
        <f ca="1">CashFlow!C9/(1+H$26)^1+CashFlow!D9/(1+H$26)^2+CashFlow!E9/(1+H$26)^3+CashFlow!F9/(1+H$26)^4+CashFlow!G9/(1+H$26)^5+CashFlow!H9/(1+H$26)^6+CashFlow!I9/(1+H$26)^7+CashFlow!J9/(1+H$26)^8+CashFlow!K9/(1+H$26)^9+CashFlow!L9/(1+H$26)^10+CashFlow!L9*(1+$A27)/(H$26-$A27)/(1+H$26)^10</f>
        <v>730940.14166777208</v>
      </c>
    </row>
    <row r="28" spans="1:12">
      <c r="A28" s="54">
        <v>0.02</v>
      </c>
      <c r="C28" s="55">
        <f ca="1">CashFlow!C9/(1+C$26)^1+CashFlow!D9/(1+C$26)^2+CashFlow!E9/(1+C$26)^3+CashFlow!F9/(1+C$26)^4+CashFlow!G9/(1+C$26)^5+CashFlow!H9/(1+C$26)^6+CashFlow!I9/(1+C$26)^7+CashFlow!J9/(1+C$26)^8+CashFlow!K9/(1+C$26)^9+CashFlow!L9/(1+C$26)^10+CashFlow!L9*(1+$A28)/(C$26-$A28)/(1+C$26)^10</f>
        <v>2511271.7048565671</v>
      </c>
      <c r="D28" s="55">
        <f ca="1">CashFlow!C9/(1+D$26)^1+CashFlow!D9/(1+D$26)^2+CashFlow!E9/(1+D$26)^3+CashFlow!F9/(1+D$26)^4+CashFlow!G9/(1+D$26)^5+CashFlow!H9/(1+D$26)^6+CashFlow!I9/(1+D$26)^7+CashFlow!J9/(1+D$26)^8+CashFlow!K9/(1+D$26)^9+CashFlow!L9/(1+D$26)^10+CashFlow!L9*(1+$A28)/(D$26-$A28)/(1+D$26)^10</f>
        <v>2001935.960447002</v>
      </c>
      <c r="E28" s="55">
        <f ca="1">CashFlow!C9/(1+E$26)^1+CashFlow!D9/(1+E$26)^2+CashFlow!E9/(1+E$26)^3+CashFlow!F9/(1+E$26)^4+CashFlow!G9/(1+E$26)^5+CashFlow!H9/(1+E$26)^6+CashFlow!I9/(1+E$26)^7+CashFlow!J9/(1+E$26)^8+CashFlow!K9/(1+E$26)^9+CashFlow!L9/(1+E$26)^10+CashFlow!L9*(1+$A28)/(E$26-$A28)/(1+E$26)^10</f>
        <v>1616261.905936596</v>
      </c>
      <c r="F28" s="55">
        <f ca="1">CashFlow!C9/(1+F$26)^1+CashFlow!D9/(1+F$26)^2+CashFlow!E9/(1+F$26)^3+CashFlow!F9/(1+F$26)^4+CashFlow!G9/(1+F$26)^5+CashFlow!H9/(1+F$26)^6+CashFlow!I9/(1+F$26)^7+CashFlow!J9/(1+F$26)^8+CashFlow!K9/(1+F$26)^9+CashFlow!L9/(1+F$26)^10+CashFlow!L9*(1+$A28)/(F$26-$A28)/(1+F$26)^10</f>
        <v>1193897.615944942</v>
      </c>
      <c r="G28" s="55">
        <f ca="1">CashFlow!C9/(1+G$26)^1+CashFlow!D9/(1+G$26)^2+CashFlow!E9/(1+G$26)^3+CashFlow!F9/(1+G$26)^4+CashFlow!G9/(1+G$26)^5+CashFlow!H9/(1+G$26)^6+CashFlow!I9/(1+G$26)^7+CashFlow!J9/(1+G$26)^8+CashFlow!K9/(1+G$26)^9+CashFlow!L9/(1+G$26)^10+CashFlow!L9*(1+$A28)/(G$26-$A28)/(1+G$26)^10</f>
        <v>896106.3014795545</v>
      </c>
      <c r="H28" s="55">
        <f ca="1">CashFlow!C9/(1+H$26)^1+CashFlow!D9/(1+H$26)^2+CashFlow!E9/(1+H$26)^3+CashFlow!F9/(1+H$26)^4+CashFlow!G9/(1+H$26)^5+CashFlow!H9/(1+H$26)^6+CashFlow!I9/(1+H$26)^7+CashFlow!J9/(1+H$26)^8+CashFlow!K9/(1+H$26)^9+CashFlow!L9/(1+H$26)^10+CashFlow!L9*(1+$A28)/(H$26-$A28)/(1+H$26)^10</f>
        <v>744816.3056499355</v>
      </c>
    </row>
    <row r="29" spans="1:12">
      <c r="A29" s="54">
        <v>0.03</v>
      </c>
      <c r="C29" s="55">
        <f ca="1">CashFlow!C9/(1+C$26)^1+CashFlow!D9/(1+C$26)^2+CashFlow!E9/(1+C$26)^3+CashFlow!F9/(1+C$26)^4+CashFlow!G9/(1+C$26)^5+CashFlow!H9/(1+C$26)^6+CashFlow!I9/(1+C$26)^7+CashFlow!J9/(1+C$26)^8+CashFlow!K9/(1+C$26)^9+CashFlow!L9/(1+C$26)^10+CashFlow!L9*(1+$A29)/(C$26-$A29)/(1+C$26)^10</f>
        <v>2623516.5269763041</v>
      </c>
      <c r="D29" s="55">
        <f ca="1">CashFlow!C9/(1+D$26)^1+CashFlow!D9/(1+D$26)^2+CashFlow!E9/(1+D$26)^3+CashFlow!F9/(1+D$26)^4+CashFlow!G9/(1+D$26)^5+CashFlow!H9/(1+D$26)^6+CashFlow!I9/(1+D$26)^7+CashFlow!J9/(1+D$26)^8+CashFlow!K9/(1+D$26)^9+CashFlow!L9/(1+D$26)^10+CashFlow!L9*(1+$A29)/(D$26-$A29)/(1+D$26)^10</f>
        <v>2077612.7993024932</v>
      </c>
      <c r="E29" s="55">
        <f ca="1">CashFlow!C9/(1+E$26)^1+CashFlow!D9/(1+E$26)^2+CashFlow!E9/(1+E$26)^3+CashFlow!F9/(1+E$26)^4+CashFlow!G9/(1+E$26)^5+CashFlow!H9/(1+E$26)^6+CashFlow!I9/(1+E$26)^7+CashFlow!J9/(1+E$26)^8+CashFlow!K9/(1+E$26)^9+CashFlow!L9/(1+E$26)^10+CashFlow!L9*(1+$A29)/(E$26-$A29)/(1+E$26)^10</f>
        <v>1668778.1370385182</v>
      </c>
      <c r="F29" s="55">
        <f ca="1">CashFlow!C9/(1+F$26)^1+CashFlow!D9/(1+F$26)^2+CashFlow!E9/(1+F$26)^3+CashFlow!F9/(1+F$26)^4+CashFlow!G9/(1+F$26)^5+CashFlow!H9/(1+F$26)^6+CashFlow!I9/(1+F$26)^7+CashFlow!J9/(1+F$26)^8+CashFlow!K9/(1+F$26)^9+CashFlow!L9/(1+F$26)^10+CashFlow!L9*(1+$A29)/(F$26-$A29)/(1+F$26)^10</f>
        <v>1225591.4653180868</v>
      </c>
      <c r="G29" s="55">
        <f ca="1">CashFlow!C9/(1+G$26)^1+CashFlow!D9/(1+G$26)^2+CashFlow!E9/(1+G$26)^3+CashFlow!F9/(1+G$26)^4+CashFlow!G9/(1+G$26)^5+CashFlow!H9/(1+G$26)^6+CashFlow!I9/(1+G$26)^7+CashFlow!J9/(1+G$26)^8+CashFlow!K9/(1+G$26)^9+CashFlow!L9/(1+G$26)^10+CashFlow!L9*(1+$A29)/(G$26-$A29)/(1+G$26)^10</f>
        <v>916036.54200802895</v>
      </c>
      <c r="H29" s="55">
        <f ca="1">CashFlow!C9/(1+H$26)^1+CashFlow!D9/(1+H$26)^2+CashFlow!E9/(1+H$26)^3+CashFlow!F9/(1+H$26)^4+CashFlow!G9/(1+H$26)^5+CashFlow!H9/(1+H$26)^6+CashFlow!I9/(1+H$26)^7+CashFlow!J9/(1+H$26)^8+CashFlow!K9/(1+H$26)^9+CashFlow!L9/(1+H$26)^10+CashFlow!L9*(1+$A29)/(H$26-$A29)/(1+H$26)^10</f>
        <v>759720.33363077743</v>
      </c>
    </row>
    <row r="30" spans="1:12">
      <c r="A30" s="54">
        <v>0.04</v>
      </c>
      <c r="C30" s="55">
        <f ca="1">CashFlow!C9/(1+C$26)^1+CashFlow!D9/(1+C$26)^2+CashFlow!E9/(1+C$26)^3+CashFlow!F9/(1+C$26)^4+CashFlow!G9/(1+C$26)^5+CashFlow!H9/(1+C$26)^6+CashFlow!I9/(1+C$26)^7+CashFlow!J9/(1+C$26)^8+CashFlow!K9/(1+C$26)^9+CashFlow!L9/(1+C$26)^10+CashFlow!L9*(1+$A30)/(C$26-$A30)/(1+C$26)^10</f>
        <v>2751796.3236845755</v>
      </c>
      <c r="D30" s="55">
        <f ca="1">CashFlow!C9/(1+D$26)^1+CashFlow!D9/(1+D$26)^2+CashFlow!E9/(1+D$26)^3+CashFlow!F9/(1+D$26)^4+CashFlow!G9/(1+D$26)^5+CashFlow!H9/(1+D$26)^6+CashFlow!I9/(1+D$26)^7+CashFlow!J9/(1+D$26)^8+CashFlow!K9/(1+D$26)^9+CashFlow!L9/(1+D$26)^10+CashFlow!L9*(1+$A30)/(D$26-$A30)/(1+D$26)^10</f>
        <v>2162749.2430149205</v>
      </c>
      <c r="E30" s="55">
        <f ca="1">CashFlow!C9/(1+E$26)^1+CashFlow!D9/(1+E$26)^2+CashFlow!E9/(1+E$26)^3+CashFlow!F9/(1+E$26)^4+CashFlow!G9/(1+E$26)^5+CashFlow!H9/(1+E$26)^6+CashFlow!I9/(1+E$26)^7+CashFlow!J9/(1+E$26)^8+CashFlow!K9/(1+E$26)^9+CashFlow!L9/(1+E$26)^10+CashFlow!L9*(1+$A30)/(E$26-$A30)/(1+E$26)^10</f>
        <v>1727129.5049295425</v>
      </c>
      <c r="F30" s="55">
        <f ca="1">CashFlow!C9/(1+F$26)^1+CashFlow!D9/(1+F$26)^2+CashFlow!E9/(1+F$26)^3+CashFlow!F9/(1+F$26)^4+CashFlow!G9/(1+F$26)^5+CashFlow!H9/(1+F$26)^6+CashFlow!I9/(1+F$26)^7+CashFlow!J9/(1+F$26)^8+CashFlow!K9/(1+F$26)^9+CashFlow!L9/(1+F$26)^10+CashFlow!L9*(1+$A30)/(F$26-$A30)/(1+F$26)^10</f>
        <v>1260303.7765362931</v>
      </c>
      <c r="G30" s="55">
        <f ca="1">CashFlow!C9/(1+G$26)^1+CashFlow!D9/(1+G$26)^2+CashFlow!E9/(1+G$26)^3+CashFlow!F9/(1+G$26)^4+CashFlow!G9/(1+G$26)^5+CashFlow!H9/(1+G$26)^6+CashFlow!I9/(1+G$26)^7+CashFlow!J9/(1+G$26)^8+CashFlow!K9/(1+G$26)^9+CashFlow!L9/(1+G$26)^10+CashFlow!L9*(1+$A30)/(G$26-$A30)/(1+G$26)^10</f>
        <v>937627.63591387612</v>
      </c>
      <c r="H30" s="55">
        <f ca="1">CashFlow!C9/(1+H$26)^1+CashFlow!D9/(1+H$26)^2+CashFlow!E9/(1+H$26)^3+CashFlow!F9/(1+H$26)^4+CashFlow!G9/(1+H$26)^5+CashFlow!H9/(1+H$26)^6+CashFlow!I9/(1+H$26)^7+CashFlow!J9/(1+H$26)^8+CashFlow!K9/(1+H$26)^9+CashFlow!L9/(1+H$26)^10+CashFlow!L9*(1+$A30)/(H$26-$A30)/(1+H$26)^10</f>
        <v>775770.82530245336</v>
      </c>
    </row>
    <row r="31" spans="1:12">
      <c r="A31" s="54">
        <v>0.05</v>
      </c>
      <c r="C31" s="55">
        <f ca="1">CashFlow!C9/(1+C$26)^1+CashFlow!D9/(1+C$26)^2+CashFlow!E9/(1+C$26)^3+CashFlow!F9/(1+C$26)^4+CashFlow!G9/(1+C$26)^5+CashFlow!H9/(1+C$26)^6+CashFlow!I9/(1+C$26)^7+CashFlow!J9/(1+C$26)^8+CashFlow!K9/(1+C$26)^9+CashFlow!L9/(1+C$26)^10+CashFlow!L9*(1+$A31)/(C$26-$A31)/(1+C$26)^10</f>
        <v>2899811.4737325804</v>
      </c>
      <c r="D31" s="55">
        <f ca="1">CashFlow!C9/(1+D$26)^1+CashFlow!D9/(1+D$26)^2+CashFlow!E9/(1+D$26)^3+CashFlow!F9/(1+D$26)^4+CashFlow!G9/(1+D$26)^5+CashFlow!H9/(1+D$26)^6+CashFlow!I9/(1+D$26)^7+CashFlow!J9/(1+D$26)^8+CashFlow!K9/(1+D$26)^9+CashFlow!L9/(1+D$26)^10+CashFlow!L9*(1+$A31)/(D$26-$A31)/(1+D$26)^10</f>
        <v>2259237.212555672</v>
      </c>
      <c r="E31" s="55">
        <f ca="1">CashFlow!C9/(1+E$26)^1+CashFlow!D9/(1+E$26)^2+CashFlow!E9/(1+E$26)^3+CashFlow!F9/(1+E$26)^4+CashFlow!G9/(1+E$26)^5+CashFlow!H9/(1+E$26)^6+CashFlow!I9/(1+E$26)^7+CashFlow!J9/(1+E$26)^8+CashFlow!K9/(1+E$26)^9+CashFlow!L9/(1+E$26)^10+CashFlow!L9*(1+$A31)/(E$26-$A31)/(1+E$26)^10</f>
        <v>1792345.7396312756</v>
      </c>
      <c r="F31" s="55">
        <f ca="1">CashFlow!C9/(1+F$26)^1+CashFlow!D9/(1+F$26)^2+CashFlow!E9/(1+F$26)^3+CashFlow!F9/(1+F$26)^4+CashFlow!G9/(1+F$26)^5+CashFlow!H9/(1+F$26)^6+CashFlow!I9/(1+F$26)^7+CashFlow!J9/(1+F$26)^8+CashFlow!K9/(1+F$26)^9+CashFlow!L9/(1+F$26)^10+CashFlow!L9*(1+$A31)/(F$26-$A31)/(1+F$26)^10</f>
        <v>1298487.31887632</v>
      </c>
      <c r="G31" s="55">
        <f ca="1">CashFlow!C9/(1+G$26)^1+CashFlow!D9/(1+G$26)^2+CashFlow!E9/(1+G$26)^3+CashFlow!F9/(1+G$26)^4+CashFlow!G9/(1+G$26)^5+CashFlow!H9/(1+G$26)^6+CashFlow!I9/(1+G$26)^7+CashFlow!J9/(1+G$26)^8+CashFlow!K9/(1+G$26)^9+CashFlow!L9/(1+G$26)^10+CashFlow!L9*(1+$A31)/(G$26-$A31)/(1+G$26)^10</f>
        <v>961096.21624631877</v>
      </c>
      <c r="H31" s="55">
        <f ca="1">CashFlow!C9/(1+H$26)^1+CashFlow!D9/(1+H$26)^2+CashFlow!E9/(1+H$26)^3+CashFlow!F9/(1+H$26)^4+CashFlow!G9/(1+H$26)^5+CashFlow!H9/(1+H$26)^6+CashFlow!I9/(1+H$26)^7+CashFlow!J9/(1+H$26)^8+CashFlow!K9/(1+H$26)^9+CashFlow!L9/(1+H$26)^10+CashFlow!L9*(1+$A31)/(H$26-$A31)/(1+H$26)^10</f>
        <v>793105.35630786349</v>
      </c>
    </row>
    <row r="32" spans="1:12">
      <c r="A32" s="56" t="s">
        <v>443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1"/>
  <sheetViews>
    <sheetView workbookViewId="0">
      <pane xSplit="2" ySplit="2" topLeftCell="C3" activePane="bottomRight" state="frozen"/>
      <selection pane="bottomRight"/>
      <selection pane="bottomLeft"/>
      <selection pane="topRight"/>
    </sheetView>
  </sheetViews>
  <sheetFormatPr defaultRowHeight="14.45"/>
  <cols>
    <col min="1" max="1" width="44" customWidth="1"/>
    <col min="2" max="2" width="15" customWidth="1"/>
    <col min="3" max="12" width="13" customWidth="1"/>
    <col min="13" max="13" width="64" customWidth="1"/>
  </cols>
  <sheetData>
    <row r="1" spans="1:13" ht="17.100000000000001">
      <c r="A1" s="1" t="s">
        <v>444</v>
      </c>
    </row>
    <row r="2" spans="1:13">
      <c r="A2" s="5" t="s">
        <v>54</v>
      </c>
      <c r="B2" s="5" t="s">
        <v>55</v>
      </c>
      <c r="C2" s="6" t="s">
        <v>56</v>
      </c>
      <c r="D2" s="6" t="s">
        <v>57</v>
      </c>
      <c r="E2" s="6" t="s">
        <v>58</v>
      </c>
      <c r="F2" s="6" t="s">
        <v>59</v>
      </c>
      <c r="G2" s="6" t="s">
        <v>60</v>
      </c>
      <c r="H2" s="6" t="s">
        <v>61</v>
      </c>
      <c r="I2" s="6" t="s">
        <v>62</v>
      </c>
      <c r="J2" s="6" t="s">
        <v>63</v>
      </c>
      <c r="K2" s="6" t="s">
        <v>64</v>
      </c>
      <c r="L2" s="6" t="s">
        <v>65</v>
      </c>
    </row>
    <row r="4" spans="1:13">
      <c r="A4" s="9" t="s">
        <v>404</v>
      </c>
      <c r="B4" s="10" t="s">
        <v>79</v>
      </c>
      <c r="C4" s="18">
        <v>150000</v>
      </c>
      <c r="D4" s="18">
        <v>250000</v>
      </c>
      <c r="E4" s="18">
        <v>0</v>
      </c>
      <c r="F4" s="18">
        <v>0</v>
      </c>
      <c r="G4" s="18">
        <v>0</v>
      </c>
      <c r="H4" s="18">
        <v>1500000</v>
      </c>
      <c r="I4" s="18">
        <v>0</v>
      </c>
      <c r="J4" s="18">
        <v>0</v>
      </c>
      <c r="K4" s="18">
        <v>0</v>
      </c>
      <c r="L4" s="18">
        <v>0</v>
      </c>
    </row>
    <row r="5" spans="1:13" ht="21">
      <c r="A5" s="9" t="s">
        <v>445</v>
      </c>
      <c r="B5" s="10" t="s">
        <v>79</v>
      </c>
      <c r="C5" s="18">
        <v>1800000</v>
      </c>
      <c r="D5" s="18">
        <v>3500000</v>
      </c>
      <c r="E5" s="18">
        <v>0</v>
      </c>
      <c r="F5" s="18">
        <v>0</v>
      </c>
      <c r="G5" s="18">
        <v>0</v>
      </c>
      <c r="H5" s="18">
        <v>12000000</v>
      </c>
      <c r="I5" s="18">
        <v>0</v>
      </c>
      <c r="J5" s="18">
        <v>0</v>
      </c>
      <c r="K5" s="18">
        <v>0</v>
      </c>
      <c r="L5" s="18">
        <v>0</v>
      </c>
      <c r="M5" s="57" t="s">
        <v>446</v>
      </c>
    </row>
    <row r="6" spans="1:13">
      <c r="A6" s="9" t="s">
        <v>447</v>
      </c>
      <c r="B6" s="10" t="s">
        <v>79</v>
      </c>
      <c r="C6" s="47">
        <f t="shared" ref="C6:L6" si="0">IF(C4=0,0,C5+C4)</f>
        <v>1950000</v>
      </c>
      <c r="D6" s="47">
        <f t="shared" si="0"/>
        <v>3750000</v>
      </c>
      <c r="E6" s="47">
        <f t="shared" si="0"/>
        <v>0</v>
      </c>
      <c r="F6" s="47">
        <f t="shared" si="0"/>
        <v>0</v>
      </c>
      <c r="G6" s="47">
        <f t="shared" si="0"/>
        <v>0</v>
      </c>
      <c r="H6" s="47">
        <f t="shared" si="0"/>
        <v>13500000</v>
      </c>
      <c r="I6" s="47">
        <f t="shared" si="0"/>
        <v>0</v>
      </c>
      <c r="J6" s="47">
        <f t="shared" si="0"/>
        <v>0</v>
      </c>
      <c r="K6" s="47">
        <f t="shared" si="0"/>
        <v>0</v>
      </c>
      <c r="L6" s="47">
        <f t="shared" si="0"/>
        <v>0</v>
      </c>
    </row>
    <row r="7" spans="1:13">
      <c r="A7" s="9" t="s">
        <v>448</v>
      </c>
      <c r="B7" s="10" t="s">
        <v>70</v>
      </c>
      <c r="C7" s="48">
        <f t="shared" ref="C7:L7" si="1">IF(C6=0,0,C4/C6)</f>
        <v>7.6923076923076927E-2</v>
      </c>
      <c r="D7" s="48">
        <f t="shared" si="1"/>
        <v>6.6666666666666666E-2</v>
      </c>
      <c r="E7" s="48">
        <f t="shared" si="1"/>
        <v>0</v>
      </c>
      <c r="F7" s="48">
        <f t="shared" si="1"/>
        <v>0</v>
      </c>
      <c r="G7" s="48">
        <f t="shared" si="1"/>
        <v>0</v>
      </c>
      <c r="H7" s="48">
        <f t="shared" si="1"/>
        <v>0.1111111111111111</v>
      </c>
      <c r="I7" s="48">
        <f t="shared" si="1"/>
        <v>0</v>
      </c>
      <c r="J7" s="48">
        <f t="shared" si="1"/>
        <v>0</v>
      </c>
      <c r="K7" s="48">
        <f t="shared" si="1"/>
        <v>0</v>
      </c>
      <c r="L7" s="48">
        <f t="shared" si="1"/>
        <v>0</v>
      </c>
    </row>
    <row r="8" spans="1:13" ht="31.5">
      <c r="A8" s="9" t="s">
        <v>449</v>
      </c>
      <c r="B8" s="10" t="s">
        <v>70</v>
      </c>
      <c r="C8" s="12">
        <v>0.05</v>
      </c>
      <c r="D8" s="12">
        <v>0</v>
      </c>
      <c r="E8" s="12">
        <v>0</v>
      </c>
      <c r="F8" s="12">
        <v>0</v>
      </c>
      <c r="G8" s="12">
        <v>0</v>
      </c>
      <c r="H8" s="12">
        <v>0</v>
      </c>
      <c r="I8" s="12">
        <v>0</v>
      </c>
      <c r="J8" s="12">
        <v>0</v>
      </c>
      <c r="K8" s="12">
        <v>0</v>
      </c>
      <c r="L8" s="12">
        <v>0</v>
      </c>
      <c r="M8" s="57" t="s">
        <v>450</v>
      </c>
    </row>
    <row r="9" spans="1:13" ht="21">
      <c r="A9" s="9" t="s">
        <v>451</v>
      </c>
      <c r="B9" s="10" t="s">
        <v>70</v>
      </c>
      <c r="C9" s="12">
        <v>0</v>
      </c>
      <c r="D9" s="12">
        <v>0</v>
      </c>
      <c r="E9" s="12">
        <v>0</v>
      </c>
      <c r="F9" s="12">
        <v>0</v>
      </c>
      <c r="G9" s="12">
        <v>0</v>
      </c>
      <c r="H9" s="12">
        <v>0.1</v>
      </c>
      <c r="I9" s="12">
        <v>0</v>
      </c>
      <c r="J9" s="12">
        <v>0</v>
      </c>
      <c r="K9" s="12">
        <v>0</v>
      </c>
      <c r="L9" s="12">
        <v>0</v>
      </c>
      <c r="M9" s="57" t="s">
        <v>452</v>
      </c>
    </row>
    <row r="10" spans="1:13">
      <c r="A10" s="36" t="s">
        <v>453</v>
      </c>
      <c r="B10" s="37" t="s">
        <v>70</v>
      </c>
      <c r="C10" s="38">
        <f>(1-C7-C8)*(1-C9)</f>
        <v>0.87307692307692308</v>
      </c>
      <c r="D10" s="38">
        <f t="shared" ref="D10:L10" si="2">(C10*(1-D7)-D8)*(1-D9)</f>
        <v>0.81487179487179484</v>
      </c>
      <c r="E10" s="38">
        <f t="shared" si="2"/>
        <v>0.81487179487179484</v>
      </c>
      <c r="F10" s="38">
        <f t="shared" si="2"/>
        <v>0.81487179487179484</v>
      </c>
      <c r="G10" s="38">
        <f t="shared" si="2"/>
        <v>0.81487179487179484</v>
      </c>
      <c r="H10" s="38">
        <f t="shared" si="2"/>
        <v>0.65189743589743587</v>
      </c>
      <c r="I10" s="38">
        <f t="shared" si="2"/>
        <v>0.65189743589743587</v>
      </c>
      <c r="J10" s="38">
        <f t="shared" si="2"/>
        <v>0.65189743589743587</v>
      </c>
      <c r="K10" s="38">
        <f t="shared" si="2"/>
        <v>0.65189743589743587</v>
      </c>
      <c r="L10" s="38">
        <f t="shared" si="2"/>
        <v>0.65189743589743587</v>
      </c>
    </row>
    <row r="11" spans="1:13">
      <c r="A11" s="9" t="s">
        <v>454</v>
      </c>
      <c r="B11" s="10" t="s">
        <v>70</v>
      </c>
      <c r="C11" s="48">
        <f t="shared" ref="C11:L11" si="3">1-C10</f>
        <v>0.12692307692307692</v>
      </c>
      <c r="D11" s="48">
        <f t="shared" si="3"/>
        <v>0.18512820512820516</v>
      </c>
      <c r="E11" s="48">
        <f t="shared" si="3"/>
        <v>0.18512820512820516</v>
      </c>
      <c r="F11" s="48">
        <f t="shared" si="3"/>
        <v>0.18512820512820516</v>
      </c>
      <c r="G11" s="48">
        <f t="shared" si="3"/>
        <v>0.18512820512820516</v>
      </c>
      <c r="H11" s="48">
        <f t="shared" si="3"/>
        <v>0.34810256410256413</v>
      </c>
      <c r="I11" s="48">
        <f t="shared" si="3"/>
        <v>0.34810256410256413</v>
      </c>
      <c r="J11" s="48">
        <f t="shared" si="3"/>
        <v>0.34810256410256413</v>
      </c>
      <c r="K11" s="48">
        <f t="shared" si="3"/>
        <v>0.34810256410256413</v>
      </c>
      <c r="L11" s="48">
        <f t="shared" si="3"/>
        <v>0.34810256410256413</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38"/>
  <sheetViews>
    <sheetView workbookViewId="0">
      <pane xSplit="2" ySplit="2" topLeftCell="C3" activePane="bottomRight" state="frozen"/>
      <selection pane="bottomRight"/>
      <selection pane="bottomLeft"/>
      <selection pane="topRight"/>
    </sheetView>
  </sheetViews>
  <sheetFormatPr defaultRowHeight="14.45"/>
  <cols>
    <col min="1" max="1" width="44" customWidth="1"/>
    <col min="2" max="2" width="15" customWidth="1"/>
    <col min="3" max="12" width="13" customWidth="1"/>
  </cols>
  <sheetData>
    <row r="1" spans="1:12" ht="17.100000000000001">
      <c r="A1" s="1" t="s">
        <v>455</v>
      </c>
    </row>
    <row r="2" spans="1:12">
      <c r="A2" s="5" t="s">
        <v>54</v>
      </c>
      <c r="B2" s="5" t="s">
        <v>55</v>
      </c>
      <c r="C2" s="6" t="s">
        <v>56</v>
      </c>
      <c r="D2" s="6" t="s">
        <v>57</v>
      </c>
      <c r="E2" s="6" t="s">
        <v>58</v>
      </c>
      <c r="F2" s="6" t="s">
        <v>59</v>
      </c>
      <c r="G2" s="6" t="s">
        <v>60</v>
      </c>
      <c r="H2" s="6" t="s">
        <v>61</v>
      </c>
      <c r="I2" s="6" t="s">
        <v>62</v>
      </c>
      <c r="J2" s="6" t="s">
        <v>63</v>
      </c>
      <c r="K2" s="6" t="s">
        <v>64</v>
      </c>
      <c r="L2" s="6" t="s">
        <v>65</v>
      </c>
    </row>
    <row r="4" spans="1:12">
      <c r="A4" s="7" t="s">
        <v>456</v>
      </c>
      <c r="B4" s="8"/>
      <c r="C4" s="8"/>
      <c r="D4" s="8"/>
      <c r="E4" s="8"/>
      <c r="F4" s="8"/>
      <c r="G4" s="8"/>
      <c r="H4" s="8"/>
      <c r="I4" s="8"/>
      <c r="J4" s="8"/>
      <c r="K4" s="8"/>
      <c r="L4" s="8"/>
    </row>
    <row r="5" spans="1:12">
      <c r="A5" s="9" t="s">
        <v>457</v>
      </c>
      <c r="B5" s="10" t="s">
        <v>147</v>
      </c>
      <c r="C5" s="17">
        <v>1</v>
      </c>
      <c r="D5" s="17">
        <v>1</v>
      </c>
      <c r="E5" s="17">
        <v>1</v>
      </c>
      <c r="F5" s="17">
        <v>1</v>
      </c>
      <c r="G5" s="17">
        <v>1</v>
      </c>
      <c r="H5" s="17">
        <v>1</v>
      </c>
      <c r="I5" s="17">
        <v>1</v>
      </c>
      <c r="J5" s="17">
        <v>1</v>
      </c>
      <c r="K5" s="17">
        <v>1</v>
      </c>
      <c r="L5" s="17">
        <v>1</v>
      </c>
    </row>
    <row r="6" spans="1:12">
      <c r="A6" s="9" t="s">
        <v>458</v>
      </c>
      <c r="B6" s="10" t="s">
        <v>147</v>
      </c>
      <c r="C6" s="17">
        <v>0</v>
      </c>
      <c r="D6" s="17">
        <v>0.5</v>
      </c>
      <c r="E6" s="17">
        <v>0.5</v>
      </c>
      <c r="F6" s="17">
        <v>1</v>
      </c>
      <c r="G6" s="17">
        <v>1.5</v>
      </c>
      <c r="H6" s="17">
        <v>2.5</v>
      </c>
      <c r="I6" s="17">
        <v>3.5</v>
      </c>
      <c r="J6" s="17">
        <v>4.5</v>
      </c>
      <c r="K6" s="17">
        <v>5</v>
      </c>
      <c r="L6" s="17">
        <v>5</v>
      </c>
    </row>
    <row r="7" spans="1:12">
      <c r="A7" s="9" t="s">
        <v>459</v>
      </c>
      <c r="B7" s="10" t="s">
        <v>147</v>
      </c>
      <c r="C7" s="17">
        <v>0</v>
      </c>
      <c r="D7" s="17">
        <v>0</v>
      </c>
      <c r="E7" s="17">
        <v>0</v>
      </c>
      <c r="F7" s="17">
        <v>0</v>
      </c>
      <c r="G7" s="17">
        <v>0.5</v>
      </c>
      <c r="H7" s="17">
        <v>1</v>
      </c>
      <c r="I7" s="17">
        <v>2</v>
      </c>
      <c r="J7" s="17">
        <v>2.5</v>
      </c>
      <c r="K7" s="17">
        <v>3</v>
      </c>
      <c r="L7" s="17">
        <v>3.5</v>
      </c>
    </row>
    <row r="8" spans="1:12">
      <c r="A8" s="9" t="s">
        <v>460</v>
      </c>
      <c r="B8" s="10" t="s">
        <v>147</v>
      </c>
      <c r="C8" s="17">
        <v>0</v>
      </c>
      <c r="D8" s="17">
        <v>0</v>
      </c>
      <c r="E8" s="17">
        <v>0</v>
      </c>
      <c r="F8" s="17">
        <v>0</v>
      </c>
      <c r="G8" s="17">
        <v>0.5</v>
      </c>
      <c r="H8" s="17">
        <v>1</v>
      </c>
      <c r="I8" s="17">
        <v>1.5</v>
      </c>
      <c r="J8" s="17">
        <v>2</v>
      </c>
      <c r="K8" s="17">
        <v>2.5</v>
      </c>
      <c r="L8" s="17">
        <v>3</v>
      </c>
    </row>
    <row r="9" spans="1:12">
      <c r="A9" s="9" t="s">
        <v>461</v>
      </c>
      <c r="B9" s="10" t="s">
        <v>147</v>
      </c>
      <c r="C9" s="17">
        <v>0</v>
      </c>
      <c r="D9" s="17">
        <v>0</v>
      </c>
      <c r="E9" s="17">
        <v>0</v>
      </c>
      <c r="F9" s="17">
        <v>0</v>
      </c>
      <c r="G9" s="17">
        <v>0.5</v>
      </c>
      <c r="H9" s="17">
        <v>1</v>
      </c>
      <c r="I9" s="17">
        <v>1</v>
      </c>
      <c r="J9" s="17">
        <v>1.5</v>
      </c>
      <c r="K9" s="17">
        <v>1.5</v>
      </c>
      <c r="L9" s="17">
        <v>2</v>
      </c>
    </row>
    <row r="10" spans="1:12">
      <c r="A10" s="9" t="s">
        <v>462</v>
      </c>
      <c r="B10" s="10" t="s">
        <v>147</v>
      </c>
      <c r="C10" s="17">
        <v>0</v>
      </c>
      <c r="D10" s="17">
        <v>0</v>
      </c>
      <c r="E10" s="17">
        <v>0</v>
      </c>
      <c r="F10" s="17">
        <v>0</v>
      </c>
      <c r="G10" s="17">
        <v>0</v>
      </c>
      <c r="H10" s="17">
        <v>0.5</v>
      </c>
      <c r="I10" s="17">
        <v>0.5</v>
      </c>
      <c r="J10" s="17">
        <v>0.5</v>
      </c>
      <c r="K10" s="17">
        <v>1</v>
      </c>
      <c r="L10" s="17">
        <v>1</v>
      </c>
    </row>
    <row r="11" spans="1:12">
      <c r="A11" s="9" t="s">
        <v>463</v>
      </c>
      <c r="B11" s="10" t="s">
        <v>147</v>
      </c>
      <c r="C11" s="17">
        <v>0</v>
      </c>
      <c r="D11" s="17">
        <v>0</v>
      </c>
      <c r="E11" s="17">
        <v>0</v>
      </c>
      <c r="F11" s="17">
        <v>0</v>
      </c>
      <c r="G11" s="17">
        <v>0</v>
      </c>
      <c r="H11" s="17">
        <v>0</v>
      </c>
      <c r="I11" s="17">
        <v>0.5</v>
      </c>
      <c r="J11" s="17">
        <v>0.5</v>
      </c>
      <c r="K11" s="17">
        <v>0.5</v>
      </c>
      <c r="L11" s="17">
        <v>0.5</v>
      </c>
    </row>
    <row r="12" spans="1:12">
      <c r="A12" s="45" t="s">
        <v>464</v>
      </c>
      <c r="B12" s="37" t="s">
        <v>147</v>
      </c>
      <c r="C12" s="58">
        <f t="shared" ref="C12:L12" si="0">SUM(C5:C11)</f>
        <v>1</v>
      </c>
      <c r="D12" s="58">
        <f t="shared" si="0"/>
        <v>1.5</v>
      </c>
      <c r="E12" s="58">
        <f t="shared" si="0"/>
        <v>1.5</v>
      </c>
      <c r="F12" s="58">
        <f t="shared" si="0"/>
        <v>2</v>
      </c>
      <c r="G12" s="58">
        <f t="shared" si="0"/>
        <v>4</v>
      </c>
      <c r="H12" s="58">
        <f t="shared" si="0"/>
        <v>7</v>
      </c>
      <c r="I12" s="58">
        <f t="shared" si="0"/>
        <v>10</v>
      </c>
      <c r="J12" s="58">
        <f t="shared" si="0"/>
        <v>12.5</v>
      </c>
      <c r="K12" s="58">
        <f t="shared" si="0"/>
        <v>14.5</v>
      </c>
      <c r="L12" s="58">
        <f t="shared" si="0"/>
        <v>16</v>
      </c>
    </row>
    <row r="14" spans="1:12">
      <c r="A14" s="7" t="s">
        <v>465</v>
      </c>
      <c r="B14" s="8"/>
      <c r="C14" s="8"/>
      <c r="D14" s="8"/>
      <c r="E14" s="8"/>
      <c r="F14" s="8"/>
      <c r="G14" s="8"/>
      <c r="H14" s="8"/>
      <c r="I14" s="8"/>
      <c r="J14" s="8"/>
      <c r="K14" s="8"/>
      <c r="L14" s="8"/>
    </row>
    <row r="15" spans="1:12">
      <c r="A15" s="9" t="s">
        <v>466</v>
      </c>
      <c r="B15" s="10" t="s">
        <v>467</v>
      </c>
      <c r="C15" s="34">
        <v>0.32</v>
      </c>
      <c r="D15" s="34">
        <v>0.32</v>
      </c>
      <c r="E15" s="34">
        <v>0.32</v>
      </c>
      <c r="F15" s="34">
        <v>0.32</v>
      </c>
      <c r="G15" s="34">
        <v>0.32</v>
      </c>
      <c r="H15" s="34">
        <v>0.32</v>
      </c>
      <c r="I15" s="34">
        <v>0.32</v>
      </c>
      <c r="J15" s="34">
        <v>0.32</v>
      </c>
      <c r="K15" s="34">
        <v>0.32</v>
      </c>
      <c r="L15" s="34">
        <v>0.32</v>
      </c>
    </row>
    <row r="16" spans="1:12">
      <c r="A16" s="9" t="s">
        <v>468</v>
      </c>
      <c r="B16" s="10" t="s">
        <v>469</v>
      </c>
      <c r="C16" s="47"/>
      <c r="D16" s="47"/>
      <c r="E16" s="47"/>
      <c r="F16" s="47"/>
      <c r="G16" s="47"/>
      <c r="H16" s="47"/>
      <c r="I16" s="47"/>
      <c r="J16" s="47"/>
      <c r="K16" s="47"/>
      <c r="L16" s="47"/>
    </row>
    <row r="17" spans="1:12">
      <c r="A17" s="9" t="s">
        <v>470</v>
      </c>
      <c r="B17" s="10" t="s">
        <v>79</v>
      </c>
      <c r="C17" s="30">
        <v>45000</v>
      </c>
      <c r="D17" s="22">
        <f t="shared" ref="D17:D23" si="1">C17</f>
        <v>45000</v>
      </c>
      <c r="E17" s="22">
        <f t="shared" ref="E17:E23" si="2">C17</f>
        <v>45000</v>
      </c>
      <c r="F17" s="22">
        <f t="shared" ref="F17:F23" si="3">C17</f>
        <v>45000</v>
      </c>
      <c r="G17" s="22">
        <f t="shared" ref="G17:G23" si="4">C17</f>
        <v>45000</v>
      </c>
      <c r="H17" s="22">
        <f t="shared" ref="H17:H23" si="5">C17</f>
        <v>45000</v>
      </c>
      <c r="I17" s="22">
        <f t="shared" ref="I17:I23" si="6">C17</f>
        <v>45000</v>
      </c>
      <c r="J17" s="22">
        <f t="shared" ref="J17:J23" si="7">C17</f>
        <v>45000</v>
      </c>
      <c r="K17" s="22">
        <f t="shared" ref="K17:K23" si="8">C17</f>
        <v>45000</v>
      </c>
      <c r="L17" s="22">
        <f t="shared" ref="L17:L23" si="9">C17</f>
        <v>45000</v>
      </c>
    </row>
    <row r="18" spans="1:12">
      <c r="A18" s="9" t="s">
        <v>471</v>
      </c>
      <c r="B18" s="10" t="s">
        <v>79</v>
      </c>
      <c r="C18" s="30">
        <v>55000</v>
      </c>
      <c r="D18" s="22">
        <f t="shared" si="1"/>
        <v>55000</v>
      </c>
      <c r="E18" s="22">
        <f t="shared" si="2"/>
        <v>55000</v>
      </c>
      <c r="F18" s="22">
        <f t="shared" si="3"/>
        <v>55000</v>
      </c>
      <c r="G18" s="22">
        <f t="shared" si="4"/>
        <v>55000</v>
      </c>
      <c r="H18" s="22">
        <f t="shared" si="5"/>
        <v>55000</v>
      </c>
      <c r="I18" s="22">
        <f t="shared" si="6"/>
        <v>55000</v>
      </c>
      <c r="J18" s="22">
        <f t="shared" si="7"/>
        <v>55000</v>
      </c>
      <c r="K18" s="22">
        <f t="shared" si="8"/>
        <v>55000</v>
      </c>
      <c r="L18" s="22">
        <f t="shared" si="9"/>
        <v>55000</v>
      </c>
    </row>
    <row r="19" spans="1:12">
      <c r="A19" s="9" t="s">
        <v>472</v>
      </c>
      <c r="B19" s="10" t="s">
        <v>79</v>
      </c>
      <c r="C19" s="30">
        <v>38000</v>
      </c>
      <c r="D19" s="22">
        <f t="shared" si="1"/>
        <v>38000</v>
      </c>
      <c r="E19" s="22">
        <f t="shared" si="2"/>
        <v>38000</v>
      </c>
      <c r="F19" s="22">
        <f t="shared" si="3"/>
        <v>38000</v>
      </c>
      <c r="G19" s="22">
        <f t="shared" si="4"/>
        <v>38000</v>
      </c>
      <c r="H19" s="22">
        <f t="shared" si="5"/>
        <v>38000</v>
      </c>
      <c r="I19" s="22">
        <f t="shared" si="6"/>
        <v>38000</v>
      </c>
      <c r="J19" s="22">
        <f t="shared" si="7"/>
        <v>38000</v>
      </c>
      <c r="K19" s="22">
        <f t="shared" si="8"/>
        <v>38000</v>
      </c>
      <c r="L19" s="22">
        <f t="shared" si="9"/>
        <v>38000</v>
      </c>
    </row>
    <row r="20" spans="1:12">
      <c r="A20" s="9" t="s">
        <v>473</v>
      </c>
      <c r="B20" s="10" t="s">
        <v>79</v>
      </c>
      <c r="C20" s="30">
        <v>30000</v>
      </c>
      <c r="D20" s="22">
        <f t="shared" si="1"/>
        <v>30000</v>
      </c>
      <c r="E20" s="22">
        <f t="shared" si="2"/>
        <v>30000</v>
      </c>
      <c r="F20" s="22">
        <f t="shared" si="3"/>
        <v>30000</v>
      </c>
      <c r="G20" s="22">
        <f t="shared" si="4"/>
        <v>30000</v>
      </c>
      <c r="H20" s="22">
        <f t="shared" si="5"/>
        <v>30000</v>
      </c>
      <c r="I20" s="22">
        <f t="shared" si="6"/>
        <v>30000</v>
      </c>
      <c r="J20" s="22">
        <f t="shared" si="7"/>
        <v>30000</v>
      </c>
      <c r="K20" s="22">
        <f t="shared" si="8"/>
        <v>30000</v>
      </c>
      <c r="L20" s="22">
        <f t="shared" si="9"/>
        <v>30000</v>
      </c>
    </row>
    <row r="21" spans="1:12">
      <c r="A21" s="9" t="s">
        <v>474</v>
      </c>
      <c r="B21" s="10" t="s">
        <v>79</v>
      </c>
      <c r="C21" s="30">
        <v>34000</v>
      </c>
      <c r="D21" s="22">
        <f t="shared" si="1"/>
        <v>34000</v>
      </c>
      <c r="E21" s="22">
        <f t="shared" si="2"/>
        <v>34000</v>
      </c>
      <c r="F21" s="22">
        <f t="shared" si="3"/>
        <v>34000</v>
      </c>
      <c r="G21" s="22">
        <f t="shared" si="4"/>
        <v>34000</v>
      </c>
      <c r="H21" s="22">
        <f t="shared" si="5"/>
        <v>34000</v>
      </c>
      <c r="I21" s="22">
        <f t="shared" si="6"/>
        <v>34000</v>
      </c>
      <c r="J21" s="22">
        <f t="shared" si="7"/>
        <v>34000</v>
      </c>
      <c r="K21" s="22">
        <f t="shared" si="8"/>
        <v>34000</v>
      </c>
      <c r="L21" s="22">
        <f t="shared" si="9"/>
        <v>34000</v>
      </c>
    </row>
    <row r="22" spans="1:12">
      <c r="A22" s="9" t="s">
        <v>475</v>
      </c>
      <c r="B22" s="10" t="s">
        <v>79</v>
      </c>
      <c r="C22" s="30">
        <v>42000</v>
      </c>
      <c r="D22" s="22">
        <f t="shared" si="1"/>
        <v>42000</v>
      </c>
      <c r="E22" s="22">
        <f t="shared" si="2"/>
        <v>42000</v>
      </c>
      <c r="F22" s="22">
        <f t="shared" si="3"/>
        <v>42000</v>
      </c>
      <c r="G22" s="22">
        <f t="shared" si="4"/>
        <v>42000</v>
      </c>
      <c r="H22" s="22">
        <f t="shared" si="5"/>
        <v>42000</v>
      </c>
      <c r="I22" s="22">
        <f t="shared" si="6"/>
        <v>42000</v>
      </c>
      <c r="J22" s="22">
        <f t="shared" si="7"/>
        <v>42000</v>
      </c>
      <c r="K22" s="22">
        <f t="shared" si="8"/>
        <v>42000</v>
      </c>
      <c r="L22" s="22">
        <f t="shared" si="9"/>
        <v>42000</v>
      </c>
    </row>
    <row r="23" spans="1:12">
      <c r="A23" s="9" t="s">
        <v>476</v>
      </c>
      <c r="B23" s="10" t="s">
        <v>79</v>
      </c>
      <c r="C23" s="30">
        <v>60000</v>
      </c>
      <c r="D23" s="22">
        <f t="shared" si="1"/>
        <v>60000</v>
      </c>
      <c r="E23" s="22">
        <f t="shared" si="2"/>
        <v>60000</v>
      </c>
      <c r="F23" s="22">
        <f t="shared" si="3"/>
        <v>60000</v>
      </c>
      <c r="G23" s="22">
        <f t="shared" si="4"/>
        <v>60000</v>
      </c>
      <c r="H23" s="22">
        <f t="shared" si="5"/>
        <v>60000</v>
      </c>
      <c r="I23" s="22">
        <f t="shared" si="6"/>
        <v>60000</v>
      </c>
      <c r="J23" s="22">
        <f t="shared" si="7"/>
        <v>60000</v>
      </c>
      <c r="K23" s="22">
        <f t="shared" si="8"/>
        <v>60000</v>
      </c>
      <c r="L23" s="22">
        <f t="shared" si="9"/>
        <v>60000</v>
      </c>
    </row>
    <row r="25" spans="1:12">
      <c r="A25" s="9" t="s">
        <v>477</v>
      </c>
      <c r="B25" s="10" t="s">
        <v>79</v>
      </c>
      <c r="C25" s="47">
        <f t="shared" ref="C25:L25" si="10">C5*C$17*(1+C15)</f>
        <v>59400</v>
      </c>
      <c r="D25" s="47">
        <f t="shared" si="10"/>
        <v>59400</v>
      </c>
      <c r="E25" s="47">
        <f t="shared" si="10"/>
        <v>59400</v>
      </c>
      <c r="F25" s="47">
        <f t="shared" si="10"/>
        <v>59400</v>
      </c>
      <c r="G25" s="47">
        <f t="shared" si="10"/>
        <v>59400</v>
      </c>
      <c r="H25" s="47">
        <f t="shared" si="10"/>
        <v>59400</v>
      </c>
      <c r="I25" s="47">
        <f t="shared" si="10"/>
        <v>59400</v>
      </c>
      <c r="J25" s="47">
        <f t="shared" si="10"/>
        <v>59400</v>
      </c>
      <c r="K25" s="47">
        <f t="shared" si="10"/>
        <v>59400</v>
      </c>
      <c r="L25" s="47">
        <f t="shared" si="10"/>
        <v>59400</v>
      </c>
    </row>
    <row r="26" spans="1:12">
      <c r="A26" s="9" t="s">
        <v>478</v>
      </c>
      <c r="B26" s="10" t="s">
        <v>79</v>
      </c>
      <c r="C26" s="47">
        <f t="shared" ref="C26:L26" si="11">C6*C$18*(1+C15)</f>
        <v>0</v>
      </c>
      <c r="D26" s="47">
        <f t="shared" si="11"/>
        <v>36300</v>
      </c>
      <c r="E26" s="47">
        <f t="shared" si="11"/>
        <v>36300</v>
      </c>
      <c r="F26" s="47">
        <f t="shared" si="11"/>
        <v>72600</v>
      </c>
      <c r="G26" s="47">
        <f t="shared" si="11"/>
        <v>108900</v>
      </c>
      <c r="H26" s="47">
        <f t="shared" si="11"/>
        <v>181500</v>
      </c>
      <c r="I26" s="47">
        <f t="shared" si="11"/>
        <v>254100</v>
      </c>
      <c r="J26" s="47">
        <f t="shared" si="11"/>
        <v>326700</v>
      </c>
      <c r="K26" s="47">
        <f t="shared" si="11"/>
        <v>363000</v>
      </c>
      <c r="L26" s="47">
        <f t="shared" si="11"/>
        <v>363000</v>
      </c>
    </row>
    <row r="27" spans="1:12">
      <c r="A27" s="9" t="s">
        <v>479</v>
      </c>
      <c r="B27" s="10" t="s">
        <v>79</v>
      </c>
      <c r="C27" s="47">
        <f t="shared" ref="C27:L27" si="12">C7*C$19*(1+C15)</f>
        <v>0</v>
      </c>
      <c r="D27" s="47">
        <f t="shared" si="12"/>
        <v>0</v>
      </c>
      <c r="E27" s="47">
        <f t="shared" si="12"/>
        <v>0</v>
      </c>
      <c r="F27" s="47">
        <f t="shared" si="12"/>
        <v>0</v>
      </c>
      <c r="G27" s="47">
        <f t="shared" si="12"/>
        <v>25080</v>
      </c>
      <c r="H27" s="47">
        <f t="shared" si="12"/>
        <v>50160</v>
      </c>
      <c r="I27" s="47">
        <f t="shared" si="12"/>
        <v>100320</v>
      </c>
      <c r="J27" s="47">
        <f t="shared" si="12"/>
        <v>125400</v>
      </c>
      <c r="K27" s="47">
        <f t="shared" si="12"/>
        <v>150480</v>
      </c>
      <c r="L27" s="47">
        <f t="shared" si="12"/>
        <v>175560</v>
      </c>
    </row>
    <row r="28" spans="1:12">
      <c r="A28" s="9" t="s">
        <v>480</v>
      </c>
      <c r="B28" s="10" t="s">
        <v>79</v>
      </c>
      <c r="C28" s="47">
        <f t="shared" ref="C28:L28" si="13">C8*C$20*(1+C15)</f>
        <v>0</v>
      </c>
      <c r="D28" s="47">
        <f t="shared" si="13"/>
        <v>0</v>
      </c>
      <c r="E28" s="47">
        <f t="shared" si="13"/>
        <v>0</v>
      </c>
      <c r="F28" s="47">
        <f t="shared" si="13"/>
        <v>0</v>
      </c>
      <c r="G28" s="47">
        <f t="shared" si="13"/>
        <v>19800</v>
      </c>
      <c r="H28" s="47">
        <f t="shared" si="13"/>
        <v>39600</v>
      </c>
      <c r="I28" s="47">
        <f t="shared" si="13"/>
        <v>59400</v>
      </c>
      <c r="J28" s="47">
        <f t="shared" si="13"/>
        <v>79200</v>
      </c>
      <c r="K28" s="47">
        <f t="shared" si="13"/>
        <v>99000</v>
      </c>
      <c r="L28" s="47">
        <f t="shared" si="13"/>
        <v>118800</v>
      </c>
    </row>
    <row r="29" spans="1:12">
      <c r="A29" s="9" t="s">
        <v>481</v>
      </c>
      <c r="B29" s="10" t="s">
        <v>79</v>
      </c>
      <c r="C29" s="47">
        <f t="shared" ref="C29:L29" si="14">C9*C$21*(1+C15)</f>
        <v>0</v>
      </c>
      <c r="D29" s="47">
        <f t="shared" si="14"/>
        <v>0</v>
      </c>
      <c r="E29" s="47">
        <f t="shared" si="14"/>
        <v>0</v>
      </c>
      <c r="F29" s="47">
        <f t="shared" si="14"/>
        <v>0</v>
      </c>
      <c r="G29" s="47">
        <f t="shared" si="14"/>
        <v>22440</v>
      </c>
      <c r="H29" s="47">
        <f t="shared" si="14"/>
        <v>44880</v>
      </c>
      <c r="I29" s="47">
        <f t="shared" si="14"/>
        <v>44880</v>
      </c>
      <c r="J29" s="47">
        <f t="shared" si="14"/>
        <v>67320</v>
      </c>
      <c r="K29" s="47">
        <f t="shared" si="14"/>
        <v>67320</v>
      </c>
      <c r="L29" s="47">
        <f t="shared" si="14"/>
        <v>89760</v>
      </c>
    </row>
    <row r="30" spans="1:12">
      <c r="A30" s="9" t="s">
        <v>482</v>
      </c>
      <c r="B30" s="10" t="s">
        <v>79</v>
      </c>
      <c r="C30" s="47">
        <f t="shared" ref="C30:L30" si="15">C10*C$22*(1+C15)</f>
        <v>0</v>
      </c>
      <c r="D30" s="47">
        <f t="shared" si="15"/>
        <v>0</v>
      </c>
      <c r="E30" s="47">
        <f t="shared" si="15"/>
        <v>0</v>
      </c>
      <c r="F30" s="47">
        <f t="shared" si="15"/>
        <v>0</v>
      </c>
      <c r="G30" s="47">
        <f t="shared" si="15"/>
        <v>0</v>
      </c>
      <c r="H30" s="47">
        <f t="shared" si="15"/>
        <v>27720</v>
      </c>
      <c r="I30" s="47">
        <f t="shared" si="15"/>
        <v>27720</v>
      </c>
      <c r="J30" s="47">
        <f t="shared" si="15"/>
        <v>27720</v>
      </c>
      <c r="K30" s="47">
        <f t="shared" si="15"/>
        <v>55440</v>
      </c>
      <c r="L30" s="47">
        <f t="shared" si="15"/>
        <v>55440</v>
      </c>
    </row>
    <row r="31" spans="1:12">
      <c r="A31" s="9" t="s">
        <v>483</v>
      </c>
      <c r="B31" s="10" t="s">
        <v>79</v>
      </c>
      <c r="C31" s="47">
        <f t="shared" ref="C31:L31" si="16">C11*C$23*(1+C15)</f>
        <v>0</v>
      </c>
      <c r="D31" s="47">
        <f t="shared" si="16"/>
        <v>0</v>
      </c>
      <c r="E31" s="47">
        <f t="shared" si="16"/>
        <v>0</v>
      </c>
      <c r="F31" s="47">
        <f t="shared" si="16"/>
        <v>0</v>
      </c>
      <c r="G31" s="47">
        <f t="shared" si="16"/>
        <v>0</v>
      </c>
      <c r="H31" s="47">
        <f t="shared" si="16"/>
        <v>0</v>
      </c>
      <c r="I31" s="47">
        <f t="shared" si="16"/>
        <v>39600</v>
      </c>
      <c r="J31" s="47">
        <f t="shared" si="16"/>
        <v>39600</v>
      </c>
      <c r="K31" s="47">
        <f t="shared" si="16"/>
        <v>39600</v>
      </c>
      <c r="L31" s="47">
        <f t="shared" si="16"/>
        <v>39600</v>
      </c>
    </row>
    <row r="32" spans="1:12">
      <c r="A32" s="45" t="s">
        <v>484</v>
      </c>
      <c r="B32" s="37" t="s">
        <v>79</v>
      </c>
      <c r="C32" s="46">
        <f t="shared" ref="C32:L32" si="17">SUM(C25:C31)</f>
        <v>59400</v>
      </c>
      <c r="D32" s="46">
        <f t="shared" si="17"/>
        <v>95700</v>
      </c>
      <c r="E32" s="46">
        <f t="shared" si="17"/>
        <v>95700</v>
      </c>
      <c r="F32" s="46">
        <f t="shared" si="17"/>
        <v>132000</v>
      </c>
      <c r="G32" s="46">
        <f t="shared" si="17"/>
        <v>235620</v>
      </c>
      <c r="H32" s="46">
        <f t="shared" si="17"/>
        <v>403260</v>
      </c>
      <c r="I32" s="46">
        <f t="shared" si="17"/>
        <v>585420</v>
      </c>
      <c r="J32" s="46">
        <f t="shared" si="17"/>
        <v>725340</v>
      </c>
      <c r="K32" s="46">
        <f t="shared" si="17"/>
        <v>834240</v>
      </c>
      <c r="L32" s="46">
        <f t="shared" si="17"/>
        <v>901560</v>
      </c>
    </row>
    <row r="33" spans="1:12">
      <c r="A33" s="9" t="s">
        <v>485</v>
      </c>
      <c r="B33" s="10" t="s">
        <v>24</v>
      </c>
      <c r="C33" s="22">
        <f>Costs!C17</f>
        <v>38000</v>
      </c>
      <c r="D33" s="22">
        <f>Costs!D17</f>
        <v>78000</v>
      </c>
      <c r="E33" s="22">
        <f>Costs!E17</f>
        <v>90000</v>
      </c>
      <c r="F33" s="22">
        <f>Costs!F17</f>
        <v>128000</v>
      </c>
      <c r="G33" s="22">
        <f>Costs!G17</f>
        <v>264000</v>
      </c>
      <c r="H33" s="22">
        <f>Costs!H17</f>
        <v>476000</v>
      </c>
      <c r="I33" s="22">
        <f>Costs!I17</f>
        <v>700000</v>
      </c>
      <c r="J33" s="22">
        <f>Costs!J17</f>
        <v>900000</v>
      </c>
      <c r="K33" s="22">
        <f>Costs!K17</f>
        <v>1073000</v>
      </c>
      <c r="L33" s="22">
        <f>Costs!L17</f>
        <v>1216000</v>
      </c>
    </row>
    <row r="34" spans="1:12">
      <c r="A34" s="9" t="s">
        <v>486</v>
      </c>
      <c r="B34" s="10" t="s">
        <v>487</v>
      </c>
      <c r="C34" s="47">
        <f t="shared" ref="C34:L34" si="18">C32-C33</f>
        <v>21400</v>
      </c>
      <c r="D34" s="47">
        <f t="shared" si="18"/>
        <v>17700</v>
      </c>
      <c r="E34" s="47">
        <f t="shared" si="18"/>
        <v>5700</v>
      </c>
      <c r="F34" s="47">
        <f t="shared" si="18"/>
        <v>4000</v>
      </c>
      <c r="G34" s="47">
        <f t="shared" si="18"/>
        <v>-28380</v>
      </c>
      <c r="H34" s="47">
        <f t="shared" si="18"/>
        <v>-72740</v>
      </c>
      <c r="I34" s="47">
        <f t="shared" si="18"/>
        <v>-114580</v>
      </c>
      <c r="J34" s="47">
        <f t="shared" si="18"/>
        <v>-174660</v>
      </c>
      <c r="K34" s="47">
        <f t="shared" si="18"/>
        <v>-238760</v>
      </c>
      <c r="L34" s="47">
        <f t="shared" si="18"/>
        <v>-314440</v>
      </c>
    </row>
    <row r="35" spans="1:12">
      <c r="A35" s="9" t="s">
        <v>488</v>
      </c>
      <c r="B35" s="10" t="s">
        <v>79</v>
      </c>
      <c r="C35" s="59">
        <f t="shared" ref="C35:L35" si="19">IF(C12=0,0,C32/C12)</f>
        <v>59400</v>
      </c>
      <c r="D35" s="59">
        <f t="shared" si="19"/>
        <v>63800</v>
      </c>
      <c r="E35" s="59">
        <f t="shared" si="19"/>
        <v>63800</v>
      </c>
      <c r="F35" s="59">
        <f t="shared" si="19"/>
        <v>66000</v>
      </c>
      <c r="G35" s="59">
        <f t="shared" si="19"/>
        <v>58905</v>
      </c>
      <c r="H35" s="59">
        <f t="shared" si="19"/>
        <v>57608.571428571428</v>
      </c>
      <c r="I35" s="59">
        <f t="shared" si="19"/>
        <v>58542</v>
      </c>
      <c r="J35" s="59">
        <f t="shared" si="19"/>
        <v>58027.199999999997</v>
      </c>
      <c r="K35" s="59">
        <f t="shared" si="19"/>
        <v>57533.793103448275</v>
      </c>
      <c r="L35" s="59">
        <f t="shared" si="19"/>
        <v>56347.5</v>
      </c>
    </row>
    <row r="36" spans="1:12">
      <c r="A36" s="9" t="s">
        <v>489</v>
      </c>
      <c r="B36" s="10" t="s">
        <v>79</v>
      </c>
      <c r="C36" s="22">
        <f>Assumptions!C67</f>
        <v>38000</v>
      </c>
      <c r="D36" s="22">
        <f>Assumptions!D67</f>
        <v>52000</v>
      </c>
      <c r="E36" s="22">
        <f>Assumptions!E67</f>
        <v>60000</v>
      </c>
      <c r="F36" s="22">
        <f>Assumptions!F67</f>
        <v>64000</v>
      </c>
      <c r="G36" s="22">
        <f>Assumptions!G67</f>
        <v>66000</v>
      </c>
      <c r="H36" s="22">
        <f>Assumptions!H67</f>
        <v>68000</v>
      </c>
      <c r="I36" s="22">
        <f>Assumptions!I67</f>
        <v>70000</v>
      </c>
      <c r="J36" s="22">
        <f>Assumptions!J67</f>
        <v>72000</v>
      </c>
      <c r="K36" s="22">
        <f>Assumptions!K67</f>
        <v>74000</v>
      </c>
      <c r="L36" s="22">
        <f>Assumptions!L67</f>
        <v>76000</v>
      </c>
    </row>
    <row r="38" spans="1:12">
      <c r="A38" s="60" t="s">
        <v>490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40"/>
  <sheetViews>
    <sheetView tabSelected="1" workbookViewId="0">
      <pane xSplit="2" ySplit="2" topLeftCell="C3" activePane="bottomRight" state="frozen"/>
      <selection pane="bottomRight"/>
      <selection pane="bottomLeft"/>
      <selection pane="topRight"/>
    </sheetView>
  </sheetViews>
  <sheetFormatPr defaultRowHeight="14.45"/>
  <cols>
    <col min="1" max="1" width="44" customWidth="1"/>
    <col min="2" max="2" width="15" customWidth="1"/>
    <col min="3" max="12" width="13" customWidth="1"/>
  </cols>
  <sheetData>
    <row r="1" spans="1:12" ht="17.100000000000001">
      <c r="A1" s="1" t="s">
        <v>491</v>
      </c>
    </row>
    <row r="2" spans="1:12">
      <c r="A2" s="5" t="s">
        <v>54</v>
      </c>
      <c r="B2" s="5" t="s">
        <v>55</v>
      </c>
      <c r="C2" s="6" t="s">
        <v>56</v>
      </c>
      <c r="D2" s="6" t="s">
        <v>57</v>
      </c>
      <c r="E2" s="6" t="s">
        <v>58</v>
      </c>
      <c r="F2" s="6" t="s">
        <v>59</v>
      </c>
      <c r="G2" s="6" t="s">
        <v>60</v>
      </c>
      <c r="H2" s="6" t="s">
        <v>61</v>
      </c>
      <c r="I2" s="6" t="s">
        <v>62</v>
      </c>
      <c r="J2" s="6" t="s">
        <v>63</v>
      </c>
      <c r="K2" s="6" t="s">
        <v>64</v>
      </c>
      <c r="L2" s="6" t="s">
        <v>65</v>
      </c>
    </row>
    <row r="4" spans="1:12">
      <c r="A4" s="7" t="s">
        <v>492</v>
      </c>
      <c r="B4" s="8"/>
      <c r="C4" s="8"/>
      <c r="D4" s="8"/>
      <c r="E4" s="8"/>
      <c r="F4" s="8"/>
      <c r="G4" s="8"/>
      <c r="H4" s="8"/>
      <c r="I4" s="8"/>
      <c r="J4" s="8"/>
      <c r="K4" s="8"/>
      <c r="L4" s="8"/>
    </row>
    <row r="5" spans="1:12">
      <c r="A5" s="9" t="s">
        <v>69</v>
      </c>
      <c r="B5" s="10" t="s">
        <v>70</v>
      </c>
      <c r="C5" s="19">
        <f>Assumptions!C6</f>
        <v>0.95</v>
      </c>
      <c r="D5" s="19">
        <f>Assumptions!D6</f>
        <v>0.92</v>
      </c>
      <c r="E5" s="19">
        <f>Assumptions!E6</f>
        <v>0.8</v>
      </c>
      <c r="F5" s="19">
        <f>Assumptions!F6</f>
        <v>0.68</v>
      </c>
      <c r="G5" s="19">
        <f>Assumptions!G6</f>
        <v>0.57999999999999996</v>
      </c>
      <c r="H5" s="19">
        <f>Assumptions!H6</f>
        <v>0.5</v>
      </c>
      <c r="I5" s="19">
        <f>Assumptions!I6</f>
        <v>0.45</v>
      </c>
      <c r="J5" s="19">
        <f>Assumptions!J6</f>
        <v>0.43</v>
      </c>
      <c r="K5" s="19">
        <f>Assumptions!K6</f>
        <v>0.42</v>
      </c>
      <c r="L5" s="19">
        <f>Assumptions!L6</f>
        <v>0.41</v>
      </c>
    </row>
    <row r="6" spans="1:12">
      <c r="A6" s="9" t="s">
        <v>493</v>
      </c>
      <c r="B6" s="10" t="s">
        <v>494</v>
      </c>
      <c r="C6" s="22">
        <f>IF(Drivers!C40=0,0,(Costs!C18+Costs!C19)/Drivers!C40)</f>
        <v>17.2</v>
      </c>
      <c r="D6" s="22">
        <f>IF(Drivers!D40=0,0,(Costs!D18+Costs!D19)/Drivers!D40)</f>
        <v>20.53817381738174</v>
      </c>
      <c r="E6" s="22">
        <f>IF(Drivers!E40=0,0,(Costs!E18+Costs!E19)/Drivers!E40)</f>
        <v>29.412138320395208</v>
      </c>
      <c r="F6" s="22">
        <f>IF(Drivers!F40=0,0,(Costs!F18+Costs!F19)/Drivers!F40)</f>
        <v>39.641046277665986</v>
      </c>
      <c r="G6" s="22">
        <f>IF(Drivers!G40=0,0,(Costs!G18+Costs!G19)/Drivers!G40)</f>
        <v>49.340425531914889</v>
      </c>
      <c r="H6" s="22">
        <f>IF(Drivers!H40=0,0,(Costs!H18+Costs!H19)/Drivers!H40)</f>
        <v>57.710734017363855</v>
      </c>
      <c r="I6" s="22">
        <f>IF(Drivers!I40=0,0,(Costs!I18+Costs!I19)/Drivers!I40)</f>
        <v>62.88878504672897</v>
      </c>
      <c r="J6" s="22">
        <f>IF(Drivers!J40=0,0,(Costs!J18+Costs!J19)/Drivers!J40)</f>
        <v>65.095563139931727</v>
      </c>
      <c r="K6" s="22">
        <f>IF(Drivers!K40=0,0,(Costs!K18+Costs!K19)/Drivers!K40)</f>
        <v>67.564650981917168</v>
      </c>
      <c r="L6" s="22">
        <f>IF(Drivers!L40=0,0,(Costs!L18+Costs!L19)/Drivers!L40)</f>
        <v>70.274158883982651</v>
      </c>
    </row>
    <row r="7" spans="1:12">
      <c r="A7" s="9" t="s">
        <v>495</v>
      </c>
      <c r="B7" s="10" t="s">
        <v>496</v>
      </c>
      <c r="C7" s="19">
        <f>IF(Drivers!C40=0,0,(Drivers!C11*Assumptions!C14+Drivers!C25*Assumptions!C26)/Drivers!C40)</f>
        <v>0.30249999999999999</v>
      </c>
      <c r="D7" s="19">
        <f>IF(Drivers!D40=0,0,(Drivers!D11*Assumptions!D14+Drivers!D25*Assumptions!D26)/Drivers!D40)</f>
        <v>0.27453245324532455</v>
      </c>
      <c r="E7" s="19">
        <f>IF(Drivers!E40=0,0,(Drivers!E11*Assumptions!E14+Drivers!E25*Assumptions!E26)/Drivers!E40)</f>
        <v>0.25577275935074106</v>
      </c>
      <c r="F7" s="19">
        <f>IF(Drivers!F40=0,0,(Drivers!F11*Assumptions!F14+Drivers!F25*Assumptions!F26)/Drivers!F40)</f>
        <v>0.24172367538564721</v>
      </c>
      <c r="G7" s="19">
        <f>IF(Drivers!G40=0,0,(Drivers!G11*Assumptions!G14+Drivers!G25*Assumptions!G26)/Drivers!G40)</f>
        <v>0.22792553191489359</v>
      </c>
      <c r="H7" s="19">
        <f>IF(Drivers!H40=0,0,(Drivers!H11*Assumptions!H14+Drivers!H25*Assumptions!H26)/Drivers!H40)</f>
        <v>0.21577742699289662</v>
      </c>
      <c r="I7" s="19">
        <f>IF(Drivers!I40=0,0,(Drivers!I11*Assumptions!I14+Drivers!I25*Assumptions!I26)/Drivers!I40)</f>
        <v>0.20685981308411214</v>
      </c>
      <c r="J7" s="19">
        <f>IF(Drivers!J40=0,0,(Drivers!J11*Assumptions!J14+Drivers!J25*Assumptions!J26)/Drivers!J40)</f>
        <v>0.19591296928327645</v>
      </c>
      <c r="K7" s="19">
        <f>IF(Drivers!K40=0,0,(Drivers!K11*Assumptions!K14+Drivers!K25*Assumptions!K26)/Drivers!K40)</f>
        <v>0.19256465098191719</v>
      </c>
      <c r="L7" s="19">
        <f>IF(Drivers!L40=0,0,(Drivers!L11*Assumptions!L14+Drivers!L25*Assumptions!L26)/Drivers!L40)</f>
        <v>0.18636473760306357</v>
      </c>
    </row>
    <row r="8" spans="1:12">
      <c r="A8" s="9" t="s">
        <v>497</v>
      </c>
      <c r="B8" s="10" t="s">
        <v>183</v>
      </c>
      <c r="C8" s="61">
        <f t="shared" ref="C8:L8" si="0">IF(C7=0,0,1/C7)</f>
        <v>3.3057851239669422</v>
      </c>
      <c r="D8" s="61">
        <f t="shared" si="0"/>
        <v>3.6425566018833897</v>
      </c>
      <c r="E8" s="61">
        <f t="shared" si="0"/>
        <v>3.9097204977512892</v>
      </c>
      <c r="F8" s="61">
        <f t="shared" si="0"/>
        <v>4.1369551344302327</v>
      </c>
      <c r="G8" s="61">
        <f t="shared" si="0"/>
        <v>4.3873978996499421</v>
      </c>
      <c r="H8" s="61">
        <f t="shared" si="0"/>
        <v>4.6344050623651194</v>
      </c>
      <c r="I8" s="61">
        <f t="shared" si="0"/>
        <v>4.8341917412126145</v>
      </c>
      <c r="J8" s="61">
        <f t="shared" si="0"/>
        <v>5.1043073036888638</v>
      </c>
      <c r="K8" s="61">
        <f t="shared" si="0"/>
        <v>5.1930611090916425</v>
      </c>
      <c r="L8" s="61">
        <f t="shared" si="0"/>
        <v>5.3658219514138459</v>
      </c>
    </row>
    <row r="9" spans="1:12">
      <c r="A9" s="9" t="s">
        <v>498</v>
      </c>
      <c r="B9" s="10" t="s">
        <v>151</v>
      </c>
      <c r="C9" s="22">
        <f>IF(Drivers!C5=0,0,Revenue!C26/Drivers!C5)</f>
        <v>8.5855200000000025</v>
      </c>
      <c r="D9" s="22">
        <f>IF(Drivers!D5=0,0,Revenue!D26/Drivers!D5)</f>
        <v>91.165045207131783</v>
      </c>
      <c r="E9" s="22">
        <f>IF(Drivers!E5=0,0,Revenue!E26/Drivers!E5)</f>
        <v>168.71694000858082</v>
      </c>
      <c r="F9" s="22">
        <f>IF(Drivers!F5=0,0,Revenue!F26/Drivers!F5)</f>
        <v>251.30976991413635</v>
      </c>
      <c r="G9" s="22">
        <f>IF(Drivers!G5=0,0,Revenue!G26/Drivers!G5)</f>
        <v>330.33752674601692</v>
      </c>
      <c r="H9" s="22">
        <f>IF(Drivers!H5=0,0,Revenue!H26/Drivers!H5)</f>
        <v>408.47086078063273</v>
      </c>
      <c r="I9" s="22">
        <f>IF(Drivers!I5=0,0,Revenue!I26/Drivers!I5)</f>
        <v>478.27987663991087</v>
      </c>
      <c r="J9" s="22">
        <f>IF(Drivers!J5=0,0,Revenue!J26/Drivers!J5)</f>
        <v>535.19974009425437</v>
      </c>
      <c r="K9" s="22">
        <f>IF(Drivers!K5=0,0,Revenue!K26/Drivers!K5)</f>
        <v>572.99431054590082</v>
      </c>
      <c r="L9" s="22">
        <f>IF(Drivers!L5=0,0,Revenue!L26/Drivers!L5)</f>
        <v>618.09042731870989</v>
      </c>
    </row>
    <row r="10" spans="1:12">
      <c r="A10" s="9" t="s">
        <v>499</v>
      </c>
      <c r="B10" s="10" t="s">
        <v>500</v>
      </c>
      <c r="C10" s="22">
        <f>IF(Revenue!C26=0,0,C9*'P&amp;L'!C6/Revenue!C26)</f>
        <v>-5.1053162091503239</v>
      </c>
      <c r="D10" s="22">
        <f>IF(Revenue!D26=0,0,D9*'P&amp;L'!D6/Revenue!D26)</f>
        <v>48.68866272521182</v>
      </c>
      <c r="E10" s="22">
        <f>IF(Revenue!E26=0,0,E9*'P&amp;L'!E6/Revenue!E26)</f>
        <v>105.95516323478164</v>
      </c>
      <c r="F10" s="22">
        <f>IF(Revenue!F26=0,0,F9*'P&amp;L'!F6/Revenue!F26)</f>
        <v>167.31066856591318</v>
      </c>
      <c r="G10" s="22">
        <f>IF(Revenue!G26=0,0,G9*'P&amp;L'!G6/Revenue!G26)</f>
        <v>224.99297512237274</v>
      </c>
      <c r="H10" s="22">
        <f>IF(Revenue!H26=0,0,H9*'P&amp;L'!H6/Revenue!H26)</f>
        <v>281.74209683405667</v>
      </c>
      <c r="I10" s="22">
        <f>IF(Revenue!I26=0,0,I9*'P&amp;L'!I6/Revenue!I26)</f>
        <v>331.61502034404293</v>
      </c>
      <c r="J10" s="22">
        <f>IF(Revenue!J26=0,0,J9*'P&amp;L'!J6/Revenue!J26)</f>
        <v>371.88692652988942</v>
      </c>
      <c r="K10" s="22">
        <f>IF(Revenue!K26=0,0,K9*'P&amp;L'!K6/Revenue!K26)</f>
        <v>398.53860863278118</v>
      </c>
      <c r="L10" s="22">
        <f>IF(Revenue!L26=0,0,L9*'P&amp;L'!L6/Revenue!L26)</f>
        <v>430.83170968280723</v>
      </c>
    </row>
    <row r="11" spans="1:12">
      <c r="A11" s="45" t="s">
        <v>501</v>
      </c>
      <c r="B11" s="37" t="s">
        <v>79</v>
      </c>
      <c r="C11" s="46">
        <f t="shared" ref="C11:L11" si="1">C10*C8</f>
        <v>-16.877078377356444</v>
      </c>
      <c r="D11" s="46">
        <f t="shared" si="1"/>
        <v>177.35120984659403</v>
      </c>
      <c r="E11" s="46">
        <f t="shared" si="1"/>
        <v>414.25507354160953</v>
      </c>
      <c r="F11" s="46">
        <f t="shared" si="1"/>
        <v>692.15672936870942</v>
      </c>
      <c r="G11" s="46">
        <f t="shared" si="1"/>
        <v>987.13370648788987</v>
      </c>
      <c r="H11" s="46">
        <f t="shared" si="1"/>
        <v>1305.7069998491158</v>
      </c>
      <c r="I11" s="46">
        <f t="shared" si="1"/>
        <v>1603.0905926092255</v>
      </c>
      <c r="J11" s="46">
        <f t="shared" si="1"/>
        <v>1898.2251552329185</v>
      </c>
      <c r="K11" s="46">
        <f t="shared" si="1"/>
        <v>2069.6353489623907</v>
      </c>
      <c r="L11" s="46">
        <f t="shared" si="1"/>
        <v>2311.7662451811643</v>
      </c>
    </row>
    <row r="12" spans="1:12">
      <c r="A12" s="36" t="s">
        <v>502</v>
      </c>
      <c r="B12" s="37" t="s">
        <v>117</v>
      </c>
      <c r="C12" s="62">
        <f t="shared" ref="C12:L12" si="2">IF(C6=0,0,C11/C6)</f>
        <v>-0.98122548705560719</v>
      </c>
      <c r="D12" s="62">
        <f t="shared" si="2"/>
        <v>8.6351986025407612</v>
      </c>
      <c r="E12" s="62">
        <f t="shared" si="2"/>
        <v>14.084493586593579</v>
      </c>
      <c r="F12" s="62">
        <f t="shared" si="2"/>
        <v>17.460606980968482</v>
      </c>
      <c r="G12" s="62">
        <f t="shared" si="2"/>
        <v>20.006590860254779</v>
      </c>
      <c r="H12" s="62">
        <f t="shared" si="2"/>
        <v>22.62502846448389</v>
      </c>
      <c r="I12" s="62">
        <f t="shared" si="2"/>
        <v>25.490881902362446</v>
      </c>
      <c r="J12" s="62">
        <f t="shared" si="2"/>
        <v>29.160591961581567</v>
      </c>
      <c r="K12" s="62">
        <f t="shared" si="2"/>
        <v>30.631925406027815</v>
      </c>
      <c r="L12" s="62">
        <f t="shared" si="2"/>
        <v>32.896391531312617</v>
      </c>
    </row>
    <row r="13" spans="1:12">
      <c r="A13" s="9" t="s">
        <v>503</v>
      </c>
      <c r="B13" s="10" t="s">
        <v>504</v>
      </c>
      <c r="C13" s="63">
        <f t="shared" ref="C13:L13" si="3">IF(C10&lt;=0,0,12*C6/C10)</f>
        <v>0</v>
      </c>
      <c r="D13" s="63">
        <f t="shared" si="3"/>
        <v>5.0619193876721669</v>
      </c>
      <c r="E13" s="63">
        <f t="shared" si="3"/>
        <v>3.33108504644238</v>
      </c>
      <c r="F13" s="63">
        <f t="shared" si="3"/>
        <v>2.8431692934428114</v>
      </c>
      <c r="G13" s="63">
        <f t="shared" si="3"/>
        <v>2.6315715237817807</v>
      </c>
      <c r="H13" s="63">
        <f t="shared" si="3"/>
        <v>2.4580239019668366</v>
      </c>
      <c r="I13" s="63">
        <f t="shared" si="3"/>
        <v>2.2757274980421562</v>
      </c>
      <c r="J13" s="63">
        <f t="shared" si="3"/>
        <v>2.1004953440233347</v>
      </c>
      <c r="K13" s="63">
        <f t="shared" si="3"/>
        <v>2.0343720638872047</v>
      </c>
      <c r="L13" s="63">
        <f t="shared" si="3"/>
        <v>1.9573533880053773</v>
      </c>
    </row>
    <row r="15" spans="1:12">
      <c r="A15" s="60" t="s">
        <v>505</v>
      </c>
    </row>
    <row r="18" spans="1:12">
      <c r="A18" s="7" t="s">
        <v>506</v>
      </c>
      <c r="B18" s="8"/>
      <c r="C18" s="8"/>
      <c r="D18" s="64" t="s">
        <v>507</v>
      </c>
      <c r="E18" s="8"/>
      <c r="F18" s="8"/>
      <c r="G18" s="8"/>
      <c r="H18" s="8"/>
      <c r="I18" s="8"/>
      <c r="J18" s="8"/>
      <c r="K18" s="8"/>
      <c r="L18" s="8"/>
    </row>
    <row r="19" spans="1:12">
      <c r="A19" s="9" t="s">
        <v>508</v>
      </c>
      <c r="B19" s="10" t="s">
        <v>120</v>
      </c>
      <c r="C19" s="26">
        <f>Assumptions!C12</f>
        <v>8</v>
      </c>
      <c r="D19" s="26">
        <f>Assumptions!D12</f>
        <v>8.3000000000000007</v>
      </c>
      <c r="E19" s="26">
        <f>Assumptions!E12</f>
        <v>8.6</v>
      </c>
      <c r="F19" s="26">
        <f>Assumptions!F12</f>
        <v>8.8000000000000007</v>
      </c>
      <c r="G19" s="26">
        <f>Assumptions!G12</f>
        <v>9</v>
      </c>
      <c r="H19" s="26">
        <f>Assumptions!H12</f>
        <v>9.1</v>
      </c>
      <c r="I19" s="26">
        <f>Assumptions!I12</f>
        <v>9.1999999999999993</v>
      </c>
      <c r="J19" s="26">
        <f>Assumptions!J12</f>
        <v>9.3000000000000007</v>
      </c>
      <c r="K19" s="26">
        <f>Assumptions!K12</f>
        <v>9.4</v>
      </c>
      <c r="L19" s="26">
        <f>Assumptions!L12</f>
        <v>9.5</v>
      </c>
    </row>
    <row r="20" spans="1:12">
      <c r="A20" s="9" t="s">
        <v>509</v>
      </c>
      <c r="B20" s="10" t="s">
        <v>120</v>
      </c>
      <c r="C20" s="26">
        <f>C19/(1+Assumptions!C48)</f>
        <v>6.6115702479338845</v>
      </c>
      <c r="D20" s="26">
        <f>D19/(1+Assumptions!D48)</f>
        <v>6.8595041322314056</v>
      </c>
      <c r="E20" s="26">
        <f>E19/(1+Assumptions!E48)</f>
        <v>7.1074380165289259</v>
      </c>
      <c r="F20" s="26">
        <f>F19/(1+Assumptions!F48)</f>
        <v>7.2727272727272734</v>
      </c>
      <c r="G20" s="26">
        <f>G19/(1+Assumptions!G48)</f>
        <v>7.4380165289256199</v>
      </c>
      <c r="H20" s="26">
        <f>H19/(1+Assumptions!H48)</f>
        <v>7.5206611570247937</v>
      </c>
      <c r="I20" s="26">
        <f>I19/(1+Assumptions!I48)</f>
        <v>7.6033057851239665</v>
      </c>
      <c r="J20" s="26">
        <f>J19/(1+Assumptions!J48)</f>
        <v>7.6859504132231411</v>
      </c>
      <c r="K20" s="26">
        <f>K19/(1+Assumptions!K48)</f>
        <v>7.7685950413223148</v>
      </c>
      <c r="L20" s="26">
        <f>L19/(1+Assumptions!L48)</f>
        <v>7.8512396694214877</v>
      </c>
    </row>
    <row r="21" spans="1:12">
      <c r="A21" s="9" t="s">
        <v>510</v>
      </c>
      <c r="B21" s="10" t="s">
        <v>120</v>
      </c>
      <c r="C21" s="26">
        <f>C20*Assumptions!C40</f>
        <v>0.99173553719008267</v>
      </c>
      <c r="D21" s="26">
        <f>D20*Assumptions!D40</f>
        <v>1.0289256198347108</v>
      </c>
      <c r="E21" s="26">
        <f>E20*Assumptions!E40</f>
        <v>1.0661157024793388</v>
      </c>
      <c r="F21" s="26">
        <f>F20*Assumptions!F40</f>
        <v>1.0909090909090911</v>
      </c>
      <c r="G21" s="26">
        <f>G20*Assumptions!G40</f>
        <v>1.115702479338843</v>
      </c>
      <c r="H21" s="26">
        <f>H20*Assumptions!H40</f>
        <v>1.1280991735537189</v>
      </c>
      <c r="I21" s="26">
        <f>I20*Assumptions!I40</f>
        <v>1.140495867768595</v>
      </c>
      <c r="J21" s="26">
        <f>J20*Assumptions!J40</f>
        <v>1.1528925619834711</v>
      </c>
      <c r="K21" s="26">
        <f>K20*Assumptions!K40</f>
        <v>1.1652892561983472</v>
      </c>
      <c r="L21" s="26">
        <f>L20*Assumptions!L40</f>
        <v>1.1776859504132231</v>
      </c>
    </row>
    <row r="22" spans="1:12">
      <c r="A22" s="9" t="s">
        <v>511</v>
      </c>
      <c r="B22" s="10" t="s">
        <v>120</v>
      </c>
      <c r="C22" s="26">
        <f>C19*Assumptions!C50+Assumptions!C51</f>
        <v>0.40200000000000002</v>
      </c>
      <c r="D22" s="26">
        <f>D19*Assumptions!D50+Assumptions!D51</f>
        <v>0.40770000000000001</v>
      </c>
      <c r="E22" s="26">
        <f>E19*Assumptions!E50+Assumptions!E51</f>
        <v>0.41339999999999999</v>
      </c>
      <c r="F22" s="26">
        <f>F19*Assumptions!F50+Assumptions!F51</f>
        <v>0.41720000000000002</v>
      </c>
      <c r="G22" s="26">
        <f>G19*Assumptions!G50+Assumptions!G51</f>
        <v>0.42099999999999999</v>
      </c>
      <c r="H22" s="26">
        <f>H19*Assumptions!H50+Assumptions!H51</f>
        <v>0.4229</v>
      </c>
      <c r="I22" s="26">
        <f>I19*Assumptions!I50+Assumptions!I51</f>
        <v>0.42479999999999996</v>
      </c>
      <c r="J22" s="26">
        <f>J19*Assumptions!J50+Assumptions!J51</f>
        <v>0.42669999999999997</v>
      </c>
      <c r="K22" s="26">
        <f>K19*Assumptions!K50+Assumptions!K51</f>
        <v>0.42859999999999998</v>
      </c>
      <c r="L22" s="26">
        <f>L19*Assumptions!L50+Assumptions!L51</f>
        <v>0.43049999999999999</v>
      </c>
    </row>
    <row r="23" spans="1:12">
      <c r="A23" s="9" t="s">
        <v>512</v>
      </c>
      <c r="B23" s="10" t="s">
        <v>79</v>
      </c>
      <c r="C23" s="26">
        <f>C19*Assumptions!C52+Assumptions!C53/30</f>
        <v>2.8333333333333335E-2</v>
      </c>
      <c r="D23" s="26">
        <f>D19*Assumptions!D52+Assumptions!D53/30</f>
        <v>2.9083333333333336E-2</v>
      </c>
      <c r="E23" s="26">
        <f>E19*Assumptions!E52+Assumptions!E53/30</f>
        <v>2.983333333333333E-2</v>
      </c>
      <c r="F23" s="26">
        <f>F19*Assumptions!F52+Assumptions!F53/30</f>
        <v>3.0333333333333337E-2</v>
      </c>
      <c r="G23" s="26">
        <f>G19*Assumptions!G52+Assumptions!G53/30</f>
        <v>3.0833333333333331E-2</v>
      </c>
      <c r="H23" s="26">
        <f>H19*Assumptions!H52+Assumptions!H53/30</f>
        <v>3.1083333333333331E-2</v>
      </c>
      <c r="I23" s="26">
        <f>I19*Assumptions!I52+Assumptions!I53/30</f>
        <v>3.1333333333333331E-2</v>
      </c>
      <c r="J23" s="26">
        <f>J19*Assumptions!J52+Assumptions!J53/30</f>
        <v>3.1583333333333338E-2</v>
      </c>
      <c r="K23" s="26">
        <f>K19*Assumptions!K52+Assumptions!K53/30</f>
        <v>3.1833333333333332E-2</v>
      </c>
      <c r="L23" s="26">
        <f>L19*Assumptions!L52+Assumptions!L53/30</f>
        <v>3.2083333333333332E-2</v>
      </c>
    </row>
    <row r="24" spans="1:12">
      <c r="A24" s="9" t="s">
        <v>513</v>
      </c>
      <c r="B24" s="10" t="s">
        <v>79</v>
      </c>
      <c r="C24" s="65">
        <f t="shared" ref="C24:L24" si="4">C21-C22-C23</f>
        <v>0.56140220385674933</v>
      </c>
      <c r="D24" s="65">
        <f t="shared" si="4"/>
        <v>0.59214228650137746</v>
      </c>
      <c r="E24" s="65">
        <f t="shared" si="4"/>
        <v>0.62288236914600548</v>
      </c>
      <c r="F24" s="65">
        <f t="shared" si="4"/>
        <v>0.64337575757575771</v>
      </c>
      <c r="G24" s="65">
        <f t="shared" si="4"/>
        <v>0.66386914600550961</v>
      </c>
      <c r="H24" s="65">
        <f t="shared" si="4"/>
        <v>0.67411584022038551</v>
      </c>
      <c r="I24" s="65">
        <f t="shared" si="4"/>
        <v>0.68436253443526174</v>
      </c>
      <c r="J24" s="65">
        <f t="shared" si="4"/>
        <v>0.69460922865013786</v>
      </c>
      <c r="K24" s="65">
        <f t="shared" si="4"/>
        <v>0.70485592286501386</v>
      </c>
      <c r="L24" s="65">
        <f t="shared" si="4"/>
        <v>0.71510261707988976</v>
      </c>
    </row>
    <row r="25" spans="1:12">
      <c r="A25" s="9" t="s">
        <v>514</v>
      </c>
      <c r="B25" s="10" t="s">
        <v>515</v>
      </c>
      <c r="C25" s="19">
        <f>Assumptions!C13</f>
        <v>0.09</v>
      </c>
      <c r="D25" s="19">
        <f>Assumptions!D13</f>
        <v>8.5000000000000006E-2</v>
      </c>
      <c r="E25" s="19">
        <f>Assumptions!E13</f>
        <v>0.08</v>
      </c>
      <c r="F25" s="19">
        <f>Assumptions!F13</f>
        <v>7.4999999999999997E-2</v>
      </c>
      <c r="G25" s="19">
        <f>Assumptions!G13</f>
        <v>7.0000000000000007E-2</v>
      </c>
      <c r="H25" s="19">
        <f>Assumptions!H13</f>
        <v>6.5000000000000002E-2</v>
      </c>
      <c r="I25" s="19">
        <f>Assumptions!I13</f>
        <v>0.06</v>
      </c>
      <c r="J25" s="19">
        <f>Assumptions!J13</f>
        <v>5.8000000000000003E-2</v>
      </c>
      <c r="K25" s="19">
        <f>Assumptions!K13</f>
        <v>5.6000000000000001E-2</v>
      </c>
      <c r="L25" s="19">
        <f>Assumptions!L13</f>
        <v>5.5E-2</v>
      </c>
    </row>
    <row r="26" spans="1:12">
      <c r="A26" s="9" t="s">
        <v>516</v>
      </c>
      <c r="B26" s="10" t="s">
        <v>504</v>
      </c>
      <c r="C26" s="63">
        <f t="shared" ref="C26:L26" si="5">IF(C25=0,0,1/C25)</f>
        <v>11.111111111111111</v>
      </c>
      <c r="D26" s="63">
        <f t="shared" si="5"/>
        <v>11.76470588235294</v>
      </c>
      <c r="E26" s="63">
        <f t="shared" si="5"/>
        <v>12.5</v>
      </c>
      <c r="F26" s="63">
        <f t="shared" si="5"/>
        <v>13.333333333333334</v>
      </c>
      <c r="G26" s="63">
        <f t="shared" si="5"/>
        <v>14.285714285714285</v>
      </c>
      <c r="H26" s="63">
        <f t="shared" si="5"/>
        <v>15.384615384615383</v>
      </c>
      <c r="I26" s="63">
        <f t="shared" si="5"/>
        <v>16.666666666666668</v>
      </c>
      <c r="J26" s="63">
        <f t="shared" si="5"/>
        <v>17.241379310344826</v>
      </c>
      <c r="K26" s="63">
        <f t="shared" si="5"/>
        <v>17.857142857142858</v>
      </c>
      <c r="L26" s="63">
        <f t="shared" si="5"/>
        <v>18.181818181818183</v>
      </c>
    </row>
    <row r="27" spans="1:12">
      <c r="A27" s="45" t="s">
        <v>517</v>
      </c>
      <c r="B27" s="37" t="s">
        <v>79</v>
      </c>
      <c r="C27" s="66">
        <f t="shared" ref="C27:L27" si="6">C24*C26</f>
        <v>6.2378022650749925</v>
      </c>
      <c r="D27" s="66">
        <f t="shared" si="6"/>
        <v>6.9663798411926754</v>
      </c>
      <c r="E27" s="66">
        <f t="shared" si="6"/>
        <v>7.7860296143250682</v>
      </c>
      <c r="F27" s="66">
        <f t="shared" si="6"/>
        <v>8.5783434343434362</v>
      </c>
      <c r="G27" s="66">
        <f t="shared" si="6"/>
        <v>9.4838449429358516</v>
      </c>
      <c r="H27" s="66">
        <f t="shared" si="6"/>
        <v>10.371012926467468</v>
      </c>
      <c r="I27" s="66">
        <f t="shared" si="6"/>
        <v>11.406042240587697</v>
      </c>
      <c r="J27" s="66">
        <f t="shared" si="6"/>
        <v>11.976021183623065</v>
      </c>
      <c r="K27" s="66">
        <f t="shared" si="6"/>
        <v>12.58671290830382</v>
      </c>
      <c r="L27" s="66">
        <f t="shared" si="6"/>
        <v>13.001865765088906</v>
      </c>
    </row>
    <row r="28" spans="1:12">
      <c r="A28" s="9" t="s">
        <v>518</v>
      </c>
      <c r="B28" s="10" t="s">
        <v>79</v>
      </c>
      <c r="C28" s="25">
        <v>0</v>
      </c>
      <c r="D28" s="25">
        <v>0</v>
      </c>
      <c r="E28" s="25">
        <v>0</v>
      </c>
      <c r="F28" s="25">
        <v>0</v>
      </c>
      <c r="G28" s="25">
        <v>0</v>
      </c>
      <c r="H28" s="25">
        <v>0</v>
      </c>
      <c r="I28" s="25">
        <v>0</v>
      </c>
      <c r="J28" s="25">
        <v>0</v>
      </c>
      <c r="K28" s="25">
        <v>0</v>
      </c>
      <c r="L28" s="25">
        <v>0</v>
      </c>
    </row>
    <row r="30" spans="1:12">
      <c r="A30" s="60" t="s">
        <v>519</v>
      </c>
    </row>
    <row r="32" spans="1:12">
      <c r="A32" s="7" t="s">
        <v>520</v>
      </c>
      <c r="B32" s="8"/>
      <c r="C32" s="8"/>
      <c r="D32" s="8"/>
      <c r="E32" s="8"/>
      <c r="F32" s="8"/>
      <c r="G32" s="8"/>
      <c r="H32" s="8"/>
      <c r="I32" s="8"/>
      <c r="J32" s="8"/>
      <c r="K32" s="8"/>
      <c r="L32" s="8"/>
    </row>
    <row r="33" spans="1:12">
      <c r="A33" s="9" t="s">
        <v>106</v>
      </c>
      <c r="B33" s="10" t="s">
        <v>79</v>
      </c>
      <c r="C33" s="22">
        <f>Assumptions!C37</f>
        <v>900</v>
      </c>
      <c r="D33" s="22">
        <f>Assumptions!D37</f>
        <v>1050</v>
      </c>
      <c r="E33" s="22">
        <f>Assumptions!E37</f>
        <v>1200</v>
      </c>
      <c r="F33" s="22">
        <f>Assumptions!F37</f>
        <v>1400</v>
      </c>
      <c r="G33" s="22">
        <f>Assumptions!G37</f>
        <v>1600</v>
      </c>
      <c r="H33" s="22">
        <f>Assumptions!H37</f>
        <v>1750</v>
      </c>
      <c r="I33" s="22">
        <f>Assumptions!I37</f>
        <v>1900</v>
      </c>
      <c r="J33" s="22">
        <f>Assumptions!J37</f>
        <v>2000</v>
      </c>
      <c r="K33" s="22">
        <f>Assumptions!K37</f>
        <v>2100</v>
      </c>
      <c r="L33" s="22">
        <f>Assumptions!L37</f>
        <v>2200</v>
      </c>
    </row>
    <row r="34" spans="1:12">
      <c r="A34" s="9" t="s">
        <v>521</v>
      </c>
      <c r="B34" s="10" t="s">
        <v>151</v>
      </c>
      <c r="C34" s="22">
        <f>Assumptions!C36*12</f>
        <v>2388</v>
      </c>
      <c r="D34" s="22">
        <f>Assumptions!D36*12</f>
        <v>2748</v>
      </c>
      <c r="E34" s="22">
        <f>Assumptions!E36*12</f>
        <v>3120</v>
      </c>
      <c r="F34" s="22">
        <f>Assumptions!F36*12</f>
        <v>3480</v>
      </c>
      <c r="G34" s="22">
        <f>Assumptions!G36*12</f>
        <v>3840</v>
      </c>
      <c r="H34" s="22">
        <f>Assumptions!H36*12</f>
        <v>4320</v>
      </c>
      <c r="I34" s="22">
        <f>Assumptions!I36*12</f>
        <v>4800</v>
      </c>
      <c r="J34" s="22">
        <f>Assumptions!J36*12</f>
        <v>5160</v>
      </c>
      <c r="K34" s="22">
        <f>Assumptions!K36*12</f>
        <v>5460</v>
      </c>
      <c r="L34" s="22">
        <f>Assumptions!L36*12</f>
        <v>5700</v>
      </c>
    </row>
    <row r="35" spans="1:12">
      <c r="A35" s="9" t="s">
        <v>522</v>
      </c>
      <c r="B35" s="10" t="s">
        <v>151</v>
      </c>
      <c r="C35" s="22">
        <f>IF(Drivers!C48=0,0,Revenue!C24/Drivers!C48)</f>
        <v>7151.466666666669</v>
      </c>
      <c r="D35" s="22">
        <f>IF(Drivers!D48=0,0,Revenue!D24/Drivers!D48)</f>
        <v>3182.4393974025975</v>
      </c>
      <c r="E35" s="22">
        <f>IF(Drivers!E48=0,0,Revenue!E24/Drivers!E48)</f>
        <v>2555.6766800313721</v>
      </c>
      <c r="F35" s="22">
        <f>IF(Drivers!F48=0,0,Revenue!F24/Drivers!F48)</f>
        <v>3269.5993772350871</v>
      </c>
      <c r="G35" s="22">
        <f>IF(Drivers!G48=0,0,Revenue!G24/Drivers!G48)</f>
        <v>4548.7224387368415</v>
      </c>
      <c r="H35" s="22">
        <f>IF(Drivers!H48=0,0,Revenue!H24/Drivers!H48)</f>
        <v>6364.2426415686268</v>
      </c>
      <c r="I35" s="22">
        <f>IF(Drivers!I48=0,0,Revenue!I24/Drivers!I48)</f>
        <v>7919.4049362580636</v>
      </c>
      <c r="J35" s="22">
        <f>IF(Drivers!J48=0,0,Revenue!J24/Drivers!J48)</f>
        <v>9187.9221839323945</v>
      </c>
      <c r="K35" s="22">
        <f>IF(Drivers!K48=0,0,Revenue!K24/Drivers!K48)</f>
        <v>9590.8247338666679</v>
      </c>
      <c r="L35" s="22">
        <f>IF(Drivers!L48=0,0,Revenue!L24/Drivers!L48)</f>
        <v>10926.539707733336</v>
      </c>
    </row>
    <row r="36" spans="1:12">
      <c r="A36" s="9" t="s">
        <v>523</v>
      </c>
      <c r="B36" s="10" t="s">
        <v>79</v>
      </c>
      <c r="C36" s="47">
        <f t="shared" ref="C36:L36" si="7">C34+C35</f>
        <v>9539.466666666669</v>
      </c>
      <c r="D36" s="47">
        <f t="shared" si="7"/>
        <v>5930.439397402597</v>
      </c>
      <c r="E36" s="47">
        <f t="shared" si="7"/>
        <v>5675.6766800313726</v>
      </c>
      <c r="F36" s="47">
        <f t="shared" si="7"/>
        <v>6749.5993772350866</v>
      </c>
      <c r="G36" s="47">
        <f t="shared" si="7"/>
        <v>8388.7224387368406</v>
      </c>
      <c r="H36" s="47">
        <f t="shared" si="7"/>
        <v>10684.242641568628</v>
      </c>
      <c r="I36" s="47">
        <f t="shared" si="7"/>
        <v>12719.404936258063</v>
      </c>
      <c r="J36" s="47">
        <f t="shared" si="7"/>
        <v>14347.922183932395</v>
      </c>
      <c r="K36" s="47">
        <f t="shared" si="7"/>
        <v>15050.824733866668</v>
      </c>
      <c r="L36" s="47">
        <f t="shared" si="7"/>
        <v>16626.539707733336</v>
      </c>
    </row>
    <row r="37" spans="1:12">
      <c r="A37" s="9" t="s">
        <v>524</v>
      </c>
      <c r="B37" s="10" t="s">
        <v>79</v>
      </c>
      <c r="C37" s="22">
        <f>C36*'P&amp;L'!C7</f>
        <v>-5672.5735657225823</v>
      </c>
      <c r="D37" s="22">
        <f>D36*'P&amp;L'!D7</f>
        <v>3167.2793336130012</v>
      </c>
      <c r="E37" s="22">
        <f>E36*'P&amp;L'!E7</f>
        <v>3564.3560692244801</v>
      </c>
      <c r="F37" s="22">
        <f>F36*'P&amp;L'!F7</f>
        <v>4493.5777257808495</v>
      </c>
      <c r="G37" s="22">
        <f>G36*'P&amp;L'!G7</f>
        <v>5713.5610281975496</v>
      </c>
      <c r="H37" s="22">
        <f>H36*'P&amp;L'!H7</f>
        <v>7369.4385914494878</v>
      </c>
      <c r="I37" s="22">
        <f>I36*'P&amp;L'!I7</f>
        <v>8818.9905800217475</v>
      </c>
      <c r="J37" s="22">
        <f>J36*'P&amp;L'!J7</f>
        <v>9969.7445333828909</v>
      </c>
      <c r="K37" s="22">
        <f>K36*'P&amp;L'!K7</f>
        <v>10468.401933164678</v>
      </c>
      <c r="L37" s="22">
        <f>L36*'P&amp;L'!L7</f>
        <v>11589.308314425987</v>
      </c>
    </row>
    <row r="38" spans="1:12">
      <c r="A38" s="45" t="s">
        <v>503</v>
      </c>
      <c r="B38" s="37" t="s">
        <v>504</v>
      </c>
      <c r="C38" s="58">
        <f t="shared" ref="C38:L38" si="8">IF(C37&lt;=0,0,12*C33/C37)</f>
        <v>0</v>
      </c>
      <c r="D38" s="58">
        <f t="shared" si="8"/>
        <v>3.9781776953745469</v>
      </c>
      <c r="E38" s="58">
        <f t="shared" si="8"/>
        <v>4.0400004153157179</v>
      </c>
      <c r="F38" s="58">
        <f t="shared" si="8"/>
        <v>3.738669057311268</v>
      </c>
      <c r="G38" s="58">
        <f t="shared" si="8"/>
        <v>3.3604261694666806</v>
      </c>
      <c r="H38" s="58">
        <f t="shared" si="8"/>
        <v>2.849606484863799</v>
      </c>
      <c r="I38" s="58">
        <f t="shared" si="8"/>
        <v>2.5853298961051587</v>
      </c>
      <c r="J38" s="58">
        <f t="shared" si="8"/>
        <v>2.407283348097629</v>
      </c>
      <c r="K38" s="58">
        <f t="shared" si="8"/>
        <v>2.4072442155821818</v>
      </c>
      <c r="L38" s="58">
        <f t="shared" si="8"/>
        <v>2.2779616594666097</v>
      </c>
    </row>
    <row r="40" spans="1:12">
      <c r="A40" s="60" t="s">
        <v>525</v>
      </c>
    </row>
  </sheetData>
  <pageMargins left="0.75" right="0.75" top="1" bottom="1" header="0.5" footer="0.5"/>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20"/>
  <sheetViews>
    <sheetView workbookViewId="0">
      <pane xSplit="2" ySplit="2" topLeftCell="C3" activePane="bottomRight" state="frozen"/>
      <selection pane="bottomRight"/>
      <selection pane="bottomLeft"/>
      <selection pane="topRight"/>
    </sheetView>
  </sheetViews>
  <sheetFormatPr defaultRowHeight="14.45"/>
  <cols>
    <col min="1" max="1" width="44" customWidth="1"/>
    <col min="2" max="2" width="15" customWidth="1"/>
    <col min="3" max="12" width="13" customWidth="1"/>
  </cols>
  <sheetData>
    <row r="1" spans="1:12" ht="17.100000000000001">
      <c r="A1" s="1" t="s">
        <v>45</v>
      </c>
    </row>
    <row r="2" spans="1:12">
      <c r="A2" s="5" t="s">
        <v>54</v>
      </c>
      <c r="B2" s="5" t="s">
        <v>55</v>
      </c>
      <c r="C2" s="6" t="s">
        <v>56</v>
      </c>
      <c r="D2" s="6" t="s">
        <v>57</v>
      </c>
      <c r="E2" s="6" t="s">
        <v>58</v>
      </c>
      <c r="F2" s="6" t="s">
        <v>59</v>
      </c>
      <c r="G2" s="6" t="s">
        <v>60</v>
      </c>
      <c r="H2" s="6" t="s">
        <v>61</v>
      </c>
      <c r="I2" s="6" t="s">
        <v>62</v>
      </c>
      <c r="J2" s="6" t="s">
        <v>63</v>
      </c>
      <c r="K2" s="6" t="s">
        <v>64</v>
      </c>
      <c r="L2" s="6" t="s">
        <v>65</v>
      </c>
    </row>
    <row r="4" spans="1:12">
      <c r="A4" s="7" t="s">
        <v>526</v>
      </c>
      <c r="B4" s="8"/>
      <c r="C4" s="8"/>
      <c r="D4" s="8"/>
      <c r="E4" s="8"/>
      <c r="F4" s="8"/>
      <c r="G4" s="8"/>
      <c r="H4" s="8"/>
      <c r="I4" s="8"/>
      <c r="J4" s="8"/>
      <c r="K4" s="8"/>
      <c r="L4" s="8"/>
    </row>
    <row r="5" spans="1:12">
      <c r="A5" s="9" t="s">
        <v>527</v>
      </c>
      <c r="B5" s="10" t="s">
        <v>68</v>
      </c>
      <c r="C5" s="13">
        <f>Drivers!C5</f>
        <v>250</v>
      </c>
      <c r="D5" s="13">
        <f>Drivers!D5</f>
        <v>750</v>
      </c>
      <c r="E5" s="13">
        <f>Drivers!E5</f>
        <v>1700</v>
      </c>
      <c r="F5" s="13">
        <f>Drivers!F5</f>
        <v>2800</v>
      </c>
      <c r="G5" s="13">
        <f>Drivers!G5</f>
        <v>4000</v>
      </c>
      <c r="H5" s="13">
        <f>Drivers!H5</f>
        <v>5200</v>
      </c>
      <c r="I5" s="13">
        <f>Drivers!I5</f>
        <v>6300</v>
      </c>
      <c r="J5" s="13">
        <f>Drivers!J5</f>
        <v>7200</v>
      </c>
      <c r="K5" s="13">
        <f>Drivers!K5</f>
        <v>7900</v>
      </c>
      <c r="L5" s="13">
        <f>Drivers!L5</f>
        <v>8500</v>
      </c>
    </row>
    <row r="6" spans="1:12">
      <c r="A6" s="9" t="s">
        <v>528</v>
      </c>
      <c r="B6" s="10" t="s">
        <v>68</v>
      </c>
      <c r="C6" s="13">
        <f>Drivers!C38</f>
        <v>0</v>
      </c>
      <c r="D6" s="13">
        <f>Drivers!D38</f>
        <v>4911.4298466696564</v>
      </c>
      <c r="E6" s="13">
        <f>Drivers!E38</f>
        <v>14332.925794794815</v>
      </c>
      <c r="F6" s="13">
        <f>Drivers!F38</f>
        <v>28168.914396191136</v>
      </c>
      <c r="G6" s="13">
        <f>Drivers!G38</f>
        <v>46065.966372216491</v>
      </c>
      <c r="H6" s="13">
        <f>Drivers!H38</f>
        <v>67882.180114548843</v>
      </c>
      <c r="I6" s="13">
        <f>Drivers!I38</f>
        <v>92005.2</v>
      </c>
      <c r="J6" s="13">
        <f>Drivers!J38</f>
        <v>111619.44</v>
      </c>
      <c r="K6" s="13">
        <f>Drivers!K38</f>
        <v>128637.28</v>
      </c>
      <c r="L6" s="13">
        <f>Drivers!L38</f>
        <v>141502.9</v>
      </c>
    </row>
    <row r="7" spans="1:12">
      <c r="A7" s="9" t="s">
        <v>273</v>
      </c>
      <c r="B7" s="10" t="s">
        <v>68</v>
      </c>
      <c r="C7" s="13">
        <f>Drivers!C48</f>
        <v>0.22500000000000001</v>
      </c>
      <c r="D7" s="13">
        <f>Drivers!D48</f>
        <v>2.8875000000000002</v>
      </c>
      <c r="E7" s="13">
        <f>Drivers!E48</f>
        <v>18.0625</v>
      </c>
      <c r="F7" s="13">
        <f>Drivers!F48</f>
        <v>45.6</v>
      </c>
      <c r="G7" s="13">
        <f>Drivers!G48</f>
        <v>76</v>
      </c>
      <c r="H7" s="13">
        <f>Drivers!H48</f>
        <v>102</v>
      </c>
      <c r="I7" s="13">
        <f>Drivers!I48</f>
        <v>124</v>
      </c>
      <c r="J7" s="13">
        <f>Drivers!J48</f>
        <v>142</v>
      </c>
      <c r="K7" s="13">
        <f>Drivers!K48</f>
        <v>158</v>
      </c>
      <c r="L7" s="13">
        <f>Drivers!L48</f>
        <v>170</v>
      </c>
    </row>
    <row r="8" spans="1:12">
      <c r="A8" s="9" t="s">
        <v>529</v>
      </c>
      <c r="B8" s="10" t="s">
        <v>530</v>
      </c>
      <c r="C8" s="22">
        <f>(Revenue!C7*Assumptions!C40+Revenue!C25)/12</f>
        <v>44.774999999999999</v>
      </c>
      <c r="D8" s="22">
        <f>(Revenue!D7*Assumptions!D40+Revenue!D25)/12</f>
        <v>3824.7955336635091</v>
      </c>
      <c r="E8" s="22">
        <f>(Revenue!E7*Assumptions!E40+Revenue!E25)/12</f>
        <v>16072.909751945721</v>
      </c>
      <c r="F8" s="22">
        <f>(Revenue!F7*Assumptions!F40+Revenue!F25)/12</f>
        <v>37661.384207263072</v>
      </c>
      <c r="G8" s="22">
        <f>(Revenue!G7*Assumptions!G40+Revenue!G25)/12</f>
        <v>66530.321088893077</v>
      </c>
      <c r="H8" s="22">
        <f>(Revenue!H7*Assumptions!H40+Revenue!H25)/12</f>
        <v>100562.94608761051</v>
      </c>
      <c r="I8" s="22">
        <f>(Revenue!I7*Assumptions!I40+Revenue!I25)/12</f>
        <v>138239.32165033571</v>
      </c>
      <c r="J8" s="22">
        <f>(Revenue!J7*Assumptions!J40+Revenue!J25)/12</f>
        <v>173160.8134913723</v>
      </c>
      <c r="K8" s="22">
        <f>(Revenue!K7*Assumptions!K40+Revenue!K25)/12</f>
        <v>204521.15712109153</v>
      </c>
      <c r="L8" s="22">
        <f>(Revenue!L7*Assumptions!L40+Revenue!L25)/12</f>
        <v>230580.6717218745</v>
      </c>
    </row>
    <row r="10" spans="1:12">
      <c r="A10" s="7" t="s">
        <v>531</v>
      </c>
      <c r="B10" s="8"/>
      <c r="C10" s="8"/>
      <c r="D10" s="8"/>
      <c r="E10" s="8"/>
      <c r="F10" s="8"/>
      <c r="G10" s="8"/>
      <c r="H10" s="8"/>
      <c r="I10" s="8"/>
      <c r="J10" s="8"/>
      <c r="K10" s="8"/>
      <c r="L10" s="8"/>
    </row>
    <row r="11" spans="1:12">
      <c r="A11" s="9" t="s">
        <v>377</v>
      </c>
      <c r="B11" s="10" t="s">
        <v>79</v>
      </c>
      <c r="C11" s="22">
        <f>Revenue!C26</f>
        <v>2146.3800000000006</v>
      </c>
      <c r="D11" s="22">
        <f>Revenue!D26</f>
        <v>68373.783905348842</v>
      </c>
      <c r="E11" s="22">
        <f>Revenue!E26</f>
        <v>286818.79801458737</v>
      </c>
      <c r="F11" s="22">
        <f>Revenue!F26</f>
        <v>703667.35575958178</v>
      </c>
      <c r="G11" s="22">
        <f>Revenue!G26</f>
        <v>1321350.1069840677</v>
      </c>
      <c r="H11" s="22">
        <f>Revenue!H26</f>
        <v>2124048.4760592901</v>
      </c>
      <c r="I11" s="22">
        <f>Revenue!I26</f>
        <v>3013163.2228314383</v>
      </c>
      <c r="J11" s="22">
        <f>Revenue!J26</f>
        <v>3853438.128678631</v>
      </c>
      <c r="K11" s="22">
        <f>Revenue!K26</f>
        <v>4526655.0533126164</v>
      </c>
      <c r="L11" s="22">
        <f>Revenue!L26</f>
        <v>5253768.6322090337</v>
      </c>
    </row>
    <row r="12" spans="1:12">
      <c r="A12" s="9" t="s">
        <v>380</v>
      </c>
      <c r="B12" s="10" t="s">
        <v>70</v>
      </c>
      <c r="C12" s="19">
        <f>'P&amp;L'!C7</f>
        <v>-0.59464263191400435</v>
      </c>
      <c r="D12" s="19">
        <f>'P&amp;L'!D7</f>
        <v>0.53407161280498039</v>
      </c>
      <c r="E12" s="19">
        <f>'P&amp;L'!E7</f>
        <v>0.62800548201853845</v>
      </c>
      <c r="F12" s="19">
        <f>'P&amp;L'!F7</f>
        <v>0.66575473218998726</v>
      </c>
      <c r="G12" s="19">
        <f>'P&amp;L'!G7</f>
        <v>0.68110025929739637</v>
      </c>
      <c r="H12" s="19">
        <f>'P&amp;L'!H7</f>
        <v>0.6897483367494478</v>
      </c>
      <c r="I12" s="19">
        <f>'P&amp;L'!I7</f>
        <v>0.69334930558600627</v>
      </c>
      <c r="J12" s="19">
        <f>'P&amp;L'!J7</f>
        <v>0.69485632871270853</v>
      </c>
      <c r="K12" s="19">
        <f>'P&amp;L'!K7</f>
        <v>0.69553676414882204</v>
      </c>
      <c r="L12" s="19">
        <f>'P&amp;L'!L7</f>
        <v>0.6970366966396242</v>
      </c>
    </row>
    <row r="13" spans="1:12">
      <c r="A13" s="9" t="s">
        <v>383</v>
      </c>
      <c r="B13" s="10" t="s">
        <v>70</v>
      </c>
      <c r="C13" s="19">
        <f>'P&amp;L'!C11</f>
        <v>-51.560684540266656</v>
      </c>
      <c r="D13" s="19">
        <f>'P&amp;L'!D11</f>
        <v>-2.0719742861820856</v>
      </c>
      <c r="E13" s="19">
        <f>'P&amp;L'!E11</f>
        <v>-0.25096774152416174</v>
      </c>
      <c r="F13" s="19">
        <f>'P&amp;L'!F11</f>
        <v>5.6980552256749667E-2</v>
      </c>
      <c r="G13" s="19">
        <f>'P&amp;L'!G11</f>
        <v>0.13126684348850223</v>
      </c>
      <c r="H13" s="19">
        <f>'P&amp;L'!H11</f>
        <v>0.18506891881791224</v>
      </c>
      <c r="I13" s="19">
        <f>'P&amp;L'!I11</f>
        <v>0.24659639214567391</v>
      </c>
      <c r="J13" s="19">
        <f>'P&amp;L'!J11</f>
        <v>0.28096043426379763</v>
      </c>
      <c r="K13" s="19">
        <f>'P&amp;L'!K11</f>
        <v>0.29679448704832573</v>
      </c>
      <c r="L13" s="19">
        <f>'P&amp;L'!L11</f>
        <v>0.3203975448821797</v>
      </c>
    </row>
    <row r="14" spans="1:12">
      <c r="A14" s="9" t="s">
        <v>532</v>
      </c>
      <c r="B14" s="10" t="s">
        <v>79</v>
      </c>
      <c r="C14" s="22">
        <f>IF(Assumptions!C66=0,0,Revenue!C26/Assumptions!C66)</f>
        <v>2146.3800000000006</v>
      </c>
      <c r="D14" s="22">
        <f>IF(Assumptions!D66=0,0,Revenue!D26/Assumptions!D66)</f>
        <v>45582.522603565892</v>
      </c>
      <c r="E14" s="22">
        <f>IF(Assumptions!E66=0,0,Revenue!E26/Assumptions!E66)</f>
        <v>191212.53200972491</v>
      </c>
      <c r="F14" s="22">
        <f>IF(Assumptions!F66=0,0,Revenue!F26/Assumptions!F66)</f>
        <v>351833.67787979089</v>
      </c>
      <c r="G14" s="22">
        <f>IF(Assumptions!G66=0,0,Revenue!G26/Assumptions!G66)</f>
        <v>330337.52674601693</v>
      </c>
      <c r="H14" s="22">
        <f>IF(Assumptions!H66=0,0,Revenue!H26/Assumptions!H66)</f>
        <v>303435.49657989858</v>
      </c>
      <c r="I14" s="22">
        <f>IF(Assumptions!I66=0,0,Revenue!I26/Assumptions!I66)</f>
        <v>301316.32228314382</v>
      </c>
      <c r="J14" s="22">
        <f>IF(Assumptions!J66=0,0,Revenue!J26/Assumptions!J66)</f>
        <v>308275.05029429047</v>
      </c>
      <c r="K14" s="22">
        <f>IF(Assumptions!K66=0,0,Revenue!K26/Assumptions!K66)</f>
        <v>312183.10712500801</v>
      </c>
      <c r="L14" s="22">
        <f>IF(Assumptions!L66=0,0,Revenue!L26/Assumptions!L66)</f>
        <v>328360.53951306461</v>
      </c>
    </row>
    <row r="16" spans="1:12">
      <c r="A16" s="7" t="s">
        <v>533</v>
      </c>
      <c r="B16" s="8"/>
      <c r="C16" s="8"/>
      <c r="D16" s="8"/>
      <c r="E16" s="8"/>
      <c r="F16" s="8"/>
      <c r="G16" s="8"/>
      <c r="H16" s="8"/>
      <c r="I16" s="8"/>
      <c r="J16" s="8"/>
      <c r="K16" s="8"/>
      <c r="L16" s="8"/>
    </row>
    <row r="17" spans="1:12">
      <c r="A17" s="9" t="s">
        <v>534</v>
      </c>
      <c r="B17" s="10" t="s">
        <v>515</v>
      </c>
      <c r="C17" s="19">
        <f>Assumptions!C13</f>
        <v>0.09</v>
      </c>
      <c r="D17" s="19">
        <f>Assumptions!D13</f>
        <v>8.5000000000000006E-2</v>
      </c>
      <c r="E17" s="19">
        <f>Assumptions!E13</f>
        <v>0.08</v>
      </c>
      <c r="F17" s="19">
        <f>Assumptions!F13</f>
        <v>7.4999999999999997E-2</v>
      </c>
      <c r="G17" s="19">
        <f>Assumptions!G13</f>
        <v>7.0000000000000007E-2</v>
      </c>
      <c r="H17" s="19">
        <f>Assumptions!H13</f>
        <v>6.5000000000000002E-2</v>
      </c>
      <c r="I17" s="19">
        <f>Assumptions!I13</f>
        <v>0.06</v>
      </c>
      <c r="J17" s="19">
        <f>Assumptions!J13</f>
        <v>5.8000000000000003E-2</v>
      </c>
      <c r="K17" s="19">
        <f>Assumptions!K13</f>
        <v>5.6000000000000001E-2</v>
      </c>
      <c r="L17" s="19">
        <f>Assumptions!L13</f>
        <v>5.5E-2</v>
      </c>
    </row>
    <row r="18" spans="1:12">
      <c r="A18" s="9" t="s">
        <v>535</v>
      </c>
      <c r="B18" s="10" t="s">
        <v>536</v>
      </c>
      <c r="C18" s="19">
        <f>Assumptions!C14</f>
        <v>0.3</v>
      </c>
      <c r="D18" s="19">
        <f>Assumptions!D14</f>
        <v>0.27</v>
      </c>
      <c r="E18" s="19">
        <f>Assumptions!E14</f>
        <v>0.24</v>
      </c>
      <c r="F18" s="19">
        <f>Assumptions!F14</f>
        <v>0.22</v>
      </c>
      <c r="G18" s="19">
        <f>Assumptions!G14</f>
        <v>0.2</v>
      </c>
      <c r="H18" s="19">
        <f>Assumptions!H14</f>
        <v>0.19</v>
      </c>
      <c r="I18" s="19">
        <f>Assumptions!I14</f>
        <v>0.18</v>
      </c>
      <c r="J18" s="19">
        <f>Assumptions!J14</f>
        <v>0.17</v>
      </c>
      <c r="K18" s="19">
        <f>Assumptions!K14</f>
        <v>0.16</v>
      </c>
      <c r="L18" s="19">
        <f>Assumptions!L14</f>
        <v>0.16</v>
      </c>
    </row>
    <row r="19" spans="1:12">
      <c r="A19" s="9" t="s">
        <v>537</v>
      </c>
      <c r="B19" s="10" t="s">
        <v>117</v>
      </c>
      <c r="C19" s="27">
        <f>CAC_CLV!C12</f>
        <v>-0.98122548705560719</v>
      </c>
      <c r="D19" s="27">
        <f>CAC_CLV!D12</f>
        <v>8.6351986025407612</v>
      </c>
      <c r="E19" s="27">
        <f>CAC_CLV!E12</f>
        <v>14.084493586593579</v>
      </c>
      <c r="F19" s="27">
        <f>CAC_CLV!F12</f>
        <v>17.460606980968482</v>
      </c>
      <c r="G19" s="27">
        <f>CAC_CLV!G12</f>
        <v>20.006590860254779</v>
      </c>
      <c r="H19" s="27">
        <f>CAC_CLV!H12</f>
        <v>22.62502846448389</v>
      </c>
      <c r="I19" s="27">
        <f>CAC_CLV!I12</f>
        <v>25.490881902362446</v>
      </c>
      <c r="J19" s="27">
        <f>CAC_CLV!J12</f>
        <v>29.160591961581567</v>
      </c>
      <c r="K19" s="27">
        <f>CAC_CLV!K12</f>
        <v>30.631925406027815</v>
      </c>
      <c r="L19" s="27">
        <f>CAC_CLV!L12</f>
        <v>32.896391531312617</v>
      </c>
    </row>
    <row r="20" spans="1:12">
      <c r="A20" s="9" t="s">
        <v>316</v>
      </c>
      <c r="B20" s="10" t="s">
        <v>70</v>
      </c>
      <c r="C20" s="19">
        <f>Revenue!C28</f>
        <v>0.12805608173614738</v>
      </c>
      <c r="D20" s="19">
        <f>Revenue!D28</f>
        <v>0.15512269923902383</v>
      </c>
      <c r="E20" s="19">
        <f>Revenue!E28</f>
        <v>0.16452604989202885</v>
      </c>
      <c r="F20" s="19">
        <f>Revenue!F28</f>
        <v>0.16251206781919467</v>
      </c>
      <c r="G20" s="19">
        <f>Revenue!G28</f>
        <v>0.15506513262617605</v>
      </c>
      <c r="H20" s="19">
        <f>Revenue!H28</f>
        <v>0.14778684848344165</v>
      </c>
      <c r="I20" s="19">
        <f>Revenue!I28</f>
        <v>0.14389328636882373</v>
      </c>
      <c r="J20" s="19">
        <f>Revenue!J28</f>
        <v>0.14133058686372177</v>
      </c>
      <c r="K20" s="19">
        <f>Revenue!K28</f>
        <v>0.14152412600547754</v>
      </c>
      <c r="L20" s="19">
        <f>Revenue!L28</f>
        <v>0.13867923606640897</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10"/>
  <sheetViews>
    <sheetView workbookViewId="0"/>
  </sheetViews>
  <sheetFormatPr defaultRowHeight="14.45"/>
  <cols>
    <col min="1" max="1" width="38" customWidth="1"/>
    <col min="2" max="3" width="16" customWidth="1"/>
    <col min="4" max="4" width="15" customWidth="1"/>
    <col min="5" max="5" width="13" customWidth="1"/>
    <col min="6" max="6" width="46" customWidth="1"/>
  </cols>
  <sheetData>
    <row r="1" spans="1:6" ht="17.100000000000001">
      <c r="A1" s="1" t="s">
        <v>538</v>
      </c>
    </row>
    <row r="2" spans="1:6">
      <c r="A2" s="56" t="s">
        <v>539</v>
      </c>
    </row>
    <row r="4" spans="1:6">
      <c r="A4" s="67" t="s">
        <v>540</v>
      </c>
      <c r="B4" s="67" t="s">
        <v>541</v>
      </c>
      <c r="C4" s="67" t="s">
        <v>55</v>
      </c>
      <c r="D4" s="67" t="s">
        <v>542</v>
      </c>
      <c r="E4" s="67" t="s">
        <v>543</v>
      </c>
      <c r="F4" s="67" t="s">
        <v>544</v>
      </c>
    </row>
    <row r="5" spans="1:6" ht="24">
      <c r="A5" s="68" t="s">
        <v>545</v>
      </c>
      <c r="B5" s="69">
        <v>7220000000</v>
      </c>
      <c r="C5" s="70" t="s">
        <v>546</v>
      </c>
      <c r="D5" s="70" t="s">
        <v>547</v>
      </c>
      <c r="E5" s="70" t="s">
        <v>548</v>
      </c>
      <c r="F5" s="70" t="s">
        <v>549</v>
      </c>
    </row>
    <row r="6" spans="1:6" ht="24">
      <c r="A6" s="68" t="s">
        <v>377</v>
      </c>
      <c r="B6" s="69">
        <v>1410000000</v>
      </c>
      <c r="C6" s="70" t="s">
        <v>546</v>
      </c>
      <c r="D6" s="70" t="s">
        <v>547</v>
      </c>
      <c r="E6" s="70" t="s">
        <v>548</v>
      </c>
      <c r="F6" s="70" t="s">
        <v>549</v>
      </c>
    </row>
    <row r="7" spans="1:6">
      <c r="A7" s="68" t="s">
        <v>550</v>
      </c>
      <c r="B7" s="69">
        <v>5800000000</v>
      </c>
      <c r="C7" s="70" t="s">
        <v>546</v>
      </c>
      <c r="D7" s="70" t="s">
        <v>547</v>
      </c>
      <c r="E7" s="70" t="s">
        <v>548</v>
      </c>
      <c r="F7" s="70" t="s">
        <v>551</v>
      </c>
    </row>
    <row r="8" spans="1:6">
      <c r="A8" s="68" t="s">
        <v>552</v>
      </c>
      <c r="B8" s="69">
        <v>4634000</v>
      </c>
      <c r="C8" s="70" t="s">
        <v>68</v>
      </c>
      <c r="D8" s="70" t="s">
        <v>547</v>
      </c>
      <c r="E8" s="70" t="s">
        <v>548</v>
      </c>
      <c r="F8" s="70" t="s">
        <v>553</v>
      </c>
    </row>
    <row r="9" spans="1:6">
      <c r="A9" s="68" t="s">
        <v>554</v>
      </c>
      <c r="B9" s="69">
        <v>377500000</v>
      </c>
      <c r="C9" s="70" t="s">
        <v>68</v>
      </c>
      <c r="D9" s="70" t="s">
        <v>547</v>
      </c>
      <c r="E9" s="70" t="s">
        <v>548</v>
      </c>
      <c r="F9" s="70" t="s">
        <v>555</v>
      </c>
    </row>
    <row r="10" spans="1:6">
      <c r="A10" s="68" t="s">
        <v>556</v>
      </c>
      <c r="B10" s="69">
        <v>131</v>
      </c>
      <c r="C10" s="70" t="s">
        <v>557</v>
      </c>
      <c r="D10" s="70" t="s">
        <v>547</v>
      </c>
      <c r="E10" s="70" t="s">
        <v>548</v>
      </c>
      <c r="F10" s="70" t="s">
        <v>558</v>
      </c>
    </row>
    <row r="11" spans="1:6">
      <c r="A11" s="68" t="s">
        <v>559</v>
      </c>
      <c r="B11" s="71">
        <v>0.76</v>
      </c>
      <c r="C11" s="70" t="s">
        <v>560</v>
      </c>
      <c r="D11" s="70" t="s">
        <v>547</v>
      </c>
      <c r="E11" s="70" t="s">
        <v>561</v>
      </c>
      <c r="F11" s="70" t="s">
        <v>562</v>
      </c>
    </row>
    <row r="12" spans="1:6">
      <c r="A12" s="68" t="s">
        <v>563</v>
      </c>
      <c r="B12" s="69">
        <v>286287</v>
      </c>
      <c r="C12" s="70" t="s">
        <v>68</v>
      </c>
      <c r="D12" s="70" t="s">
        <v>564</v>
      </c>
      <c r="E12" s="70" t="s">
        <v>565</v>
      </c>
      <c r="F12" s="70" t="s">
        <v>566</v>
      </c>
    </row>
    <row r="13" spans="1:6">
      <c r="A13" s="68" t="s">
        <v>567</v>
      </c>
      <c r="B13" s="69">
        <v>300000</v>
      </c>
      <c r="C13" s="70" t="s">
        <v>68</v>
      </c>
      <c r="D13" s="70" t="s">
        <v>564</v>
      </c>
      <c r="E13" s="70" t="s">
        <v>561</v>
      </c>
      <c r="F13" s="70" t="s">
        <v>568</v>
      </c>
    </row>
    <row r="14" spans="1:6">
      <c r="A14" s="68" t="s">
        <v>569</v>
      </c>
      <c r="B14" s="69">
        <v>10000000</v>
      </c>
      <c r="C14" s="70" t="s">
        <v>68</v>
      </c>
      <c r="D14" s="70" t="s">
        <v>564</v>
      </c>
      <c r="E14" s="70" t="s">
        <v>570</v>
      </c>
      <c r="F14" s="70" t="s">
        <v>571</v>
      </c>
    </row>
    <row r="15" spans="1:6">
      <c r="A15" s="68" t="s">
        <v>572</v>
      </c>
      <c r="B15" s="69">
        <v>2000000000</v>
      </c>
      <c r="C15" s="70" t="s">
        <v>573</v>
      </c>
      <c r="D15" s="70" t="s">
        <v>564</v>
      </c>
      <c r="E15" s="70" t="s">
        <v>570</v>
      </c>
      <c r="F15" s="70" t="s">
        <v>571</v>
      </c>
    </row>
    <row r="16" spans="1:6">
      <c r="A16" s="68" t="s">
        <v>574</v>
      </c>
      <c r="B16" s="71">
        <v>6.1</v>
      </c>
      <c r="C16" s="70" t="s">
        <v>557</v>
      </c>
      <c r="D16" s="70" t="s">
        <v>564</v>
      </c>
      <c r="E16" s="70" t="s">
        <v>575</v>
      </c>
      <c r="F16" s="70" t="s">
        <v>576</v>
      </c>
    </row>
    <row r="17" spans="1:6">
      <c r="A17" s="68" t="s">
        <v>577</v>
      </c>
      <c r="B17" s="71">
        <v>8</v>
      </c>
      <c r="C17" s="70" t="s">
        <v>557</v>
      </c>
      <c r="D17" s="70" t="s">
        <v>564</v>
      </c>
      <c r="E17" s="70" t="s">
        <v>570</v>
      </c>
      <c r="F17" s="70" t="s">
        <v>578</v>
      </c>
    </row>
    <row r="18" spans="1:6">
      <c r="A18" s="68" t="s">
        <v>579</v>
      </c>
      <c r="B18" s="71">
        <v>12</v>
      </c>
      <c r="C18" s="70" t="s">
        <v>557</v>
      </c>
      <c r="D18" s="70" t="s">
        <v>564</v>
      </c>
      <c r="E18" s="70" t="s">
        <v>570</v>
      </c>
      <c r="F18" s="70" t="s">
        <v>578</v>
      </c>
    </row>
    <row r="19" spans="1:6">
      <c r="A19" s="68" t="s">
        <v>580</v>
      </c>
      <c r="B19" s="71">
        <v>0.1</v>
      </c>
      <c r="C19" s="70" t="s">
        <v>581</v>
      </c>
      <c r="D19" s="70" t="s">
        <v>564</v>
      </c>
      <c r="E19" s="70" t="s">
        <v>582</v>
      </c>
      <c r="F19" s="70" t="s">
        <v>583</v>
      </c>
    </row>
    <row r="20" spans="1:6">
      <c r="A20" s="68" t="s">
        <v>584</v>
      </c>
      <c r="B20" s="71">
        <v>0.15</v>
      </c>
      <c r="C20" s="70" t="s">
        <v>581</v>
      </c>
      <c r="D20" s="70" t="s">
        <v>564</v>
      </c>
      <c r="E20" s="70" t="s">
        <v>582</v>
      </c>
      <c r="F20" s="70" t="s">
        <v>583</v>
      </c>
    </row>
    <row r="21" spans="1:6" ht="24">
      <c r="A21" s="68" t="s">
        <v>585</v>
      </c>
      <c r="B21" s="71">
        <v>0.33300000000000002</v>
      </c>
      <c r="C21" s="70" t="s">
        <v>586</v>
      </c>
      <c r="D21" s="70" t="s">
        <v>564</v>
      </c>
      <c r="E21" s="70" t="s">
        <v>582</v>
      </c>
      <c r="F21" s="70" t="s">
        <v>587</v>
      </c>
    </row>
    <row r="22" spans="1:6">
      <c r="A22" s="68" t="s">
        <v>588</v>
      </c>
      <c r="B22" s="71">
        <v>3.0000000000000001E-3</v>
      </c>
      <c r="C22" s="70" t="s">
        <v>581</v>
      </c>
      <c r="D22" s="70" t="s">
        <v>564</v>
      </c>
      <c r="E22" s="70" t="s">
        <v>570</v>
      </c>
      <c r="F22" s="70" t="s">
        <v>589</v>
      </c>
    </row>
    <row r="23" spans="1:6">
      <c r="A23" s="68" t="s">
        <v>590</v>
      </c>
      <c r="B23" s="69">
        <v>45000</v>
      </c>
      <c r="C23" s="70" t="s">
        <v>68</v>
      </c>
      <c r="D23" s="70" t="s">
        <v>591</v>
      </c>
      <c r="E23" s="70" t="s">
        <v>592</v>
      </c>
      <c r="F23" s="70" t="s">
        <v>593</v>
      </c>
    </row>
    <row r="24" spans="1:6">
      <c r="A24" s="68" t="s">
        <v>594</v>
      </c>
      <c r="B24" s="69">
        <v>68</v>
      </c>
      <c r="C24" s="70" t="s">
        <v>68</v>
      </c>
      <c r="D24" s="70" t="s">
        <v>591</v>
      </c>
      <c r="E24" s="70" t="s">
        <v>592</v>
      </c>
      <c r="F24" s="70" t="s">
        <v>595</v>
      </c>
    </row>
    <row r="25" spans="1:6">
      <c r="A25" s="68" t="s">
        <v>596</v>
      </c>
      <c r="B25" s="71">
        <v>0.6</v>
      </c>
      <c r="C25" s="70" t="s">
        <v>597</v>
      </c>
      <c r="D25" s="70" t="s">
        <v>591</v>
      </c>
      <c r="E25" s="70" t="s">
        <v>592</v>
      </c>
      <c r="F25" s="70" t="s">
        <v>598</v>
      </c>
    </row>
    <row r="27" spans="1:6">
      <c r="A27" s="72" t="s">
        <v>599</v>
      </c>
    </row>
    <row r="28" spans="1:6">
      <c r="A28" s="5" t="s">
        <v>542</v>
      </c>
      <c r="B28" s="5" t="s">
        <v>600</v>
      </c>
      <c r="C28" s="5" t="s">
        <v>601</v>
      </c>
      <c r="D28" s="5" t="s">
        <v>602</v>
      </c>
      <c r="E28" s="5"/>
      <c r="F28" s="5" t="s">
        <v>544</v>
      </c>
    </row>
    <row r="29" spans="1:6">
      <c r="A29" s="2" t="s">
        <v>547</v>
      </c>
      <c r="B29" s="73">
        <v>0.2</v>
      </c>
      <c r="C29" s="74">
        <v>0</v>
      </c>
      <c r="D29" s="74">
        <v>0</v>
      </c>
      <c r="F29" s="75" t="s">
        <v>603</v>
      </c>
    </row>
    <row r="30" spans="1:6">
      <c r="A30" s="2" t="s">
        <v>604</v>
      </c>
      <c r="B30" s="73">
        <v>0.2</v>
      </c>
      <c r="C30" s="74">
        <v>0</v>
      </c>
      <c r="D30" s="74">
        <v>0</v>
      </c>
      <c r="F30" s="75" t="s">
        <v>605</v>
      </c>
    </row>
    <row r="31" spans="1:6">
      <c r="A31" s="2" t="s">
        <v>606</v>
      </c>
      <c r="B31" s="73">
        <v>0.2</v>
      </c>
      <c r="C31" s="74">
        <v>0</v>
      </c>
      <c r="D31" s="74">
        <v>0</v>
      </c>
      <c r="F31" s="75" t="s">
        <v>605</v>
      </c>
    </row>
    <row r="32" spans="1:6">
      <c r="A32" s="2" t="s">
        <v>564</v>
      </c>
      <c r="B32" s="73">
        <v>0.1</v>
      </c>
      <c r="C32" s="74">
        <v>0</v>
      </c>
      <c r="D32" s="74">
        <v>0</v>
      </c>
      <c r="F32" s="75" t="s">
        <v>607</v>
      </c>
    </row>
    <row r="33" spans="1:6">
      <c r="A33" s="2" t="s">
        <v>608</v>
      </c>
      <c r="B33" s="73">
        <v>0.1</v>
      </c>
      <c r="C33" s="74">
        <v>0.3</v>
      </c>
      <c r="D33" s="74">
        <v>29</v>
      </c>
      <c r="F33" s="75" t="s">
        <v>609</v>
      </c>
    </row>
    <row r="34" spans="1:6">
      <c r="A34" s="2" t="s">
        <v>610</v>
      </c>
      <c r="B34" s="73">
        <v>0.15</v>
      </c>
      <c r="C34" s="74">
        <v>0</v>
      </c>
      <c r="D34" s="74">
        <v>0</v>
      </c>
      <c r="F34" s="75" t="s">
        <v>611</v>
      </c>
    </row>
    <row r="36" spans="1:6">
      <c r="A36" s="72" t="s">
        <v>612</v>
      </c>
    </row>
    <row r="37" spans="1:6">
      <c r="A37" s="9" t="s">
        <v>613</v>
      </c>
      <c r="B37" s="73">
        <v>0.1</v>
      </c>
      <c r="C37" s="73">
        <v>0.2</v>
      </c>
      <c r="F37" s="75" t="s">
        <v>614</v>
      </c>
    </row>
    <row r="38" spans="1:6">
      <c r="A38" s="9" t="s">
        <v>615</v>
      </c>
      <c r="B38" s="73">
        <v>0.02</v>
      </c>
      <c r="C38" s="73">
        <v>0.05</v>
      </c>
      <c r="F38" s="75" t="s">
        <v>616</v>
      </c>
    </row>
    <row r="39" spans="1:6">
      <c r="A39" s="9" t="s">
        <v>617</v>
      </c>
      <c r="B39" s="73">
        <v>0.2</v>
      </c>
      <c r="C39" s="73">
        <v>0.5</v>
      </c>
      <c r="F39" s="75" t="s">
        <v>618</v>
      </c>
    </row>
    <row r="41" spans="1:6">
      <c r="A41" s="72" t="s">
        <v>619</v>
      </c>
    </row>
    <row r="42" spans="1:6">
      <c r="A42" s="108" t="s">
        <v>620</v>
      </c>
      <c r="B42" s="109"/>
      <c r="C42" s="109"/>
      <c r="D42" s="109"/>
      <c r="E42" s="109"/>
      <c r="F42" s="109"/>
    </row>
    <row r="43" spans="1:6">
      <c r="A43" s="67" t="s">
        <v>540</v>
      </c>
      <c r="B43" s="67" t="s">
        <v>541</v>
      </c>
      <c r="C43" s="67" t="s">
        <v>55</v>
      </c>
      <c r="D43" s="67" t="s">
        <v>621</v>
      </c>
      <c r="E43" s="67" t="s">
        <v>543</v>
      </c>
      <c r="F43" s="67" t="s">
        <v>544</v>
      </c>
    </row>
    <row r="44" spans="1:6" ht="24">
      <c r="A44" s="68" t="s">
        <v>622</v>
      </c>
      <c r="B44" s="30">
        <v>34450000000</v>
      </c>
      <c r="C44" s="70" t="s">
        <v>79</v>
      </c>
      <c r="D44" s="70" t="s">
        <v>623</v>
      </c>
      <c r="E44" s="70" t="s">
        <v>561</v>
      </c>
      <c r="F44" s="70" t="s">
        <v>624</v>
      </c>
    </row>
    <row r="45" spans="1:6">
      <c r="A45" s="68" t="s">
        <v>625</v>
      </c>
      <c r="B45" s="30">
        <v>24790000000</v>
      </c>
      <c r="C45" s="70" t="s">
        <v>79</v>
      </c>
      <c r="D45" s="70" t="s">
        <v>623</v>
      </c>
      <c r="E45" s="70" t="s">
        <v>561</v>
      </c>
      <c r="F45" s="70" t="s">
        <v>626</v>
      </c>
    </row>
    <row r="46" spans="1:6">
      <c r="A46" s="68" t="s">
        <v>627</v>
      </c>
      <c r="B46" s="30">
        <v>9660000000</v>
      </c>
      <c r="C46" s="70" t="s">
        <v>79</v>
      </c>
      <c r="D46" s="70" t="s">
        <v>623</v>
      </c>
      <c r="E46" s="70" t="s">
        <v>561</v>
      </c>
      <c r="F46" s="70" t="s">
        <v>628</v>
      </c>
    </row>
    <row r="47" spans="1:6" ht="24">
      <c r="A47" s="68" t="s">
        <v>625</v>
      </c>
      <c r="B47" s="30">
        <v>2180000000</v>
      </c>
      <c r="C47" s="70" t="s">
        <v>79</v>
      </c>
      <c r="D47" s="70" t="s">
        <v>629</v>
      </c>
      <c r="E47" s="70" t="s">
        <v>561</v>
      </c>
      <c r="F47" s="70" t="s">
        <v>630</v>
      </c>
    </row>
    <row r="48" spans="1:6">
      <c r="A48" s="68" t="s">
        <v>625</v>
      </c>
      <c r="B48" s="30">
        <v>6260000000</v>
      </c>
      <c r="C48" s="70" t="s">
        <v>79</v>
      </c>
      <c r="D48" s="70" t="s">
        <v>631</v>
      </c>
      <c r="E48" s="70" t="s">
        <v>561</v>
      </c>
      <c r="F48" s="70" t="s">
        <v>632</v>
      </c>
    </row>
    <row r="49" spans="1:6">
      <c r="A49" s="68" t="s">
        <v>625</v>
      </c>
      <c r="B49" s="30">
        <v>6150000000</v>
      </c>
      <c r="C49" s="70" t="s">
        <v>79</v>
      </c>
      <c r="D49" s="70" t="s">
        <v>633</v>
      </c>
      <c r="E49" s="70" t="s">
        <v>561</v>
      </c>
      <c r="F49" s="70" t="s">
        <v>634</v>
      </c>
    </row>
    <row r="50" spans="1:6">
      <c r="A50" s="68" t="s">
        <v>625</v>
      </c>
      <c r="B50" s="30">
        <v>2010000000</v>
      </c>
      <c r="C50" s="70" t="s">
        <v>79</v>
      </c>
      <c r="D50" s="70" t="s">
        <v>635</v>
      </c>
      <c r="E50" s="70" t="s">
        <v>561</v>
      </c>
      <c r="F50" s="70" t="s">
        <v>636</v>
      </c>
    </row>
    <row r="51" spans="1:6">
      <c r="A51" s="68" t="s">
        <v>625</v>
      </c>
      <c r="B51" s="30">
        <v>1850000000</v>
      </c>
      <c r="C51" s="70" t="s">
        <v>79</v>
      </c>
      <c r="D51" s="70" t="s">
        <v>637</v>
      </c>
      <c r="E51" s="70" t="s">
        <v>561</v>
      </c>
      <c r="F51" s="70" t="s">
        <v>638</v>
      </c>
    </row>
    <row r="53" spans="1:6">
      <c r="A53" s="72" t="s">
        <v>639</v>
      </c>
    </row>
    <row r="54" spans="1:6">
      <c r="A54" s="6">
        <v>2019</v>
      </c>
      <c r="B54" s="6">
        <v>2021</v>
      </c>
      <c r="C54" s="6">
        <v>2022</v>
      </c>
      <c r="D54" s="6">
        <v>2023</v>
      </c>
      <c r="E54" s="6">
        <v>2024</v>
      </c>
      <c r="F54" s="6">
        <v>2025</v>
      </c>
    </row>
    <row r="55" spans="1:6">
      <c r="A55" s="76">
        <v>20.260000000000002</v>
      </c>
      <c r="B55" s="76">
        <v>19.8</v>
      </c>
      <c r="C55" s="76">
        <v>20.69</v>
      </c>
      <c r="D55" s="76">
        <v>21.98</v>
      </c>
      <c r="E55" s="76">
        <v>23.41</v>
      </c>
      <c r="F55" s="76">
        <v>24.79</v>
      </c>
    </row>
    <row r="56" spans="1:6">
      <c r="A56" s="108" t="s">
        <v>640</v>
      </c>
      <c r="B56" s="109"/>
      <c r="C56" s="109"/>
      <c r="D56" s="109"/>
      <c r="E56" s="109"/>
      <c r="F56" s="109"/>
    </row>
    <row r="58" spans="1:6">
      <c r="A58" s="72" t="s">
        <v>641</v>
      </c>
    </row>
    <row r="59" spans="1:6">
      <c r="A59" s="67" t="s">
        <v>540</v>
      </c>
      <c r="B59" s="67" t="s">
        <v>541</v>
      </c>
      <c r="C59" s="67" t="s">
        <v>55</v>
      </c>
      <c r="D59" s="67" t="s">
        <v>621</v>
      </c>
      <c r="E59" s="67" t="s">
        <v>543</v>
      </c>
      <c r="F59" s="67" t="s">
        <v>544</v>
      </c>
    </row>
    <row r="60" spans="1:6" ht="24">
      <c r="A60" s="68" t="s">
        <v>642</v>
      </c>
      <c r="B60" s="69">
        <v>115</v>
      </c>
      <c r="C60" s="70" t="s">
        <v>643</v>
      </c>
      <c r="D60" s="70" t="s">
        <v>644</v>
      </c>
      <c r="E60" s="70" t="s">
        <v>645</v>
      </c>
      <c r="F60" s="70" t="s">
        <v>646</v>
      </c>
    </row>
    <row r="61" spans="1:6">
      <c r="A61" s="68" t="s">
        <v>647</v>
      </c>
      <c r="B61" s="69">
        <v>115</v>
      </c>
      <c r="C61" s="70" t="s">
        <v>643</v>
      </c>
      <c r="D61" s="70" t="s">
        <v>644</v>
      </c>
      <c r="E61" s="70" t="s">
        <v>645</v>
      </c>
      <c r="F61" s="70" t="s">
        <v>648</v>
      </c>
    </row>
    <row r="62" spans="1:6">
      <c r="A62" s="68" t="s">
        <v>649</v>
      </c>
      <c r="B62" s="69">
        <v>245</v>
      </c>
      <c r="C62" s="70" t="s">
        <v>643</v>
      </c>
      <c r="D62" s="70" t="s">
        <v>644</v>
      </c>
      <c r="E62" s="70" t="s">
        <v>645</v>
      </c>
      <c r="F62" s="70" t="s">
        <v>648</v>
      </c>
    </row>
    <row r="63" spans="1:6" ht="24">
      <c r="A63" s="68" t="s">
        <v>650</v>
      </c>
      <c r="B63" s="34">
        <v>0.35</v>
      </c>
      <c r="C63" s="70" t="s">
        <v>581</v>
      </c>
      <c r="D63" s="70" t="s">
        <v>644</v>
      </c>
      <c r="E63" s="70" t="s">
        <v>645</v>
      </c>
      <c r="F63" s="70" t="s">
        <v>651</v>
      </c>
    </row>
    <row r="64" spans="1:6" ht="24">
      <c r="A64" s="68" t="s">
        <v>652</v>
      </c>
      <c r="B64" s="34">
        <v>0.7</v>
      </c>
      <c r="C64" s="70" t="s">
        <v>581</v>
      </c>
      <c r="D64" s="70" t="s">
        <v>653</v>
      </c>
      <c r="E64" s="70" t="s">
        <v>654</v>
      </c>
      <c r="F64" s="70" t="s">
        <v>655</v>
      </c>
    </row>
    <row r="65" spans="1:6">
      <c r="A65" s="68" t="s">
        <v>656</v>
      </c>
      <c r="B65" s="34">
        <v>7.0000000000000007E-2</v>
      </c>
      <c r="C65" s="70" t="s">
        <v>581</v>
      </c>
      <c r="D65" s="70" t="s">
        <v>653</v>
      </c>
      <c r="E65" s="70" t="s">
        <v>654</v>
      </c>
      <c r="F65" s="70" t="s">
        <v>657</v>
      </c>
    </row>
    <row r="67" spans="1:6">
      <c r="A67" s="72" t="s">
        <v>658</v>
      </c>
    </row>
    <row r="68" spans="1:6">
      <c r="A68" s="108" t="s">
        <v>659</v>
      </c>
      <c r="B68" s="109"/>
      <c r="C68" s="109"/>
      <c r="D68" s="109"/>
      <c r="E68" s="109"/>
      <c r="F68" s="109"/>
    </row>
    <row r="69" spans="1:6" ht="26.45">
      <c r="A69" s="67" t="s">
        <v>660</v>
      </c>
      <c r="B69" s="67" t="s">
        <v>661</v>
      </c>
      <c r="C69" s="67" t="s">
        <v>662</v>
      </c>
      <c r="D69" s="67" t="s">
        <v>663</v>
      </c>
      <c r="E69" s="67" t="s">
        <v>664</v>
      </c>
      <c r="F69" s="67" t="s">
        <v>665</v>
      </c>
    </row>
    <row r="70" spans="1:6" ht="24">
      <c r="A70" s="77" t="s">
        <v>666</v>
      </c>
      <c r="B70" s="35">
        <v>2014</v>
      </c>
      <c r="C70" s="69">
        <v>13</v>
      </c>
      <c r="D70" s="30">
        <v>2170000</v>
      </c>
      <c r="E70" s="30">
        <v>15900000</v>
      </c>
      <c r="F70" s="70" t="s">
        <v>667</v>
      </c>
    </row>
    <row r="71" spans="1:6" ht="24">
      <c r="A71" s="77" t="s">
        <v>668</v>
      </c>
      <c r="B71" s="35">
        <v>2014</v>
      </c>
      <c r="C71" s="69">
        <v>23</v>
      </c>
      <c r="D71" s="30">
        <v>5400000</v>
      </c>
      <c r="E71" s="30"/>
      <c r="F71" s="70" t="s">
        <v>669</v>
      </c>
    </row>
    <row r="72" spans="1:6" ht="24">
      <c r="A72" s="77" t="s">
        <v>670</v>
      </c>
      <c r="B72" s="35">
        <v>2016</v>
      </c>
      <c r="C72" s="69">
        <v>355</v>
      </c>
      <c r="D72" s="30">
        <v>38760000</v>
      </c>
      <c r="E72" s="30">
        <v>89380000</v>
      </c>
      <c r="F72" s="70" t="s">
        <v>671</v>
      </c>
    </row>
    <row r="73" spans="1:6" ht="24">
      <c r="A73" s="77" t="s">
        <v>672</v>
      </c>
      <c r="B73" s="35">
        <v>2001</v>
      </c>
      <c r="C73" s="69">
        <v>47</v>
      </c>
      <c r="D73" s="30">
        <v>21470000</v>
      </c>
      <c r="E73" s="30">
        <v>38400000</v>
      </c>
      <c r="F73" s="70" t="s">
        <v>673</v>
      </c>
    </row>
    <row r="74" spans="1:6" ht="24">
      <c r="A74" s="77" t="s">
        <v>674</v>
      </c>
      <c r="B74" s="78">
        <v>2026</v>
      </c>
      <c r="C74" s="79">
        <f>Assumptions!L66</f>
        <v>16</v>
      </c>
      <c r="D74" s="80">
        <f>SUM(Funding!C4:L4)</f>
        <v>1900000</v>
      </c>
      <c r="E74" s="80">
        <f>Funding!H5</f>
        <v>12000000</v>
      </c>
      <c r="F74" s="70" t="s">
        <v>675</v>
      </c>
    </row>
    <row r="76" spans="1:6">
      <c r="A76" s="72" t="s">
        <v>676</v>
      </c>
    </row>
    <row r="77" spans="1:6">
      <c r="A77" s="5" t="s">
        <v>677</v>
      </c>
      <c r="B77" s="5" t="s">
        <v>678</v>
      </c>
      <c r="C77" s="5"/>
      <c r="D77" s="5"/>
      <c r="E77" s="5"/>
      <c r="F77" s="5" t="s">
        <v>544</v>
      </c>
    </row>
    <row r="78" spans="1:6">
      <c r="A78" s="9" t="s">
        <v>679</v>
      </c>
      <c r="B78" s="81">
        <v>135000</v>
      </c>
      <c r="F78" s="82" t="s">
        <v>680</v>
      </c>
    </row>
    <row r="79" spans="1:6">
      <c r="A79" s="9" t="s">
        <v>681</v>
      </c>
      <c r="B79" s="81">
        <v>215000</v>
      </c>
      <c r="F79" s="82" t="s">
        <v>682</v>
      </c>
    </row>
    <row r="80" spans="1:6">
      <c r="A80" s="9" t="s">
        <v>683</v>
      </c>
      <c r="B80" s="81">
        <v>300000</v>
      </c>
      <c r="F80" s="82" t="s">
        <v>684</v>
      </c>
    </row>
    <row r="81" spans="1:6" ht="24">
      <c r="A81" s="2" t="s">
        <v>685</v>
      </c>
      <c r="B81" s="83">
        <f>KPIs!I14</f>
        <v>301316.32228314382</v>
      </c>
      <c r="F81" s="82" t="s">
        <v>686</v>
      </c>
    </row>
    <row r="82" spans="1:6">
      <c r="A82" s="9" t="s">
        <v>687</v>
      </c>
      <c r="B82" s="84">
        <f>B81/B79</f>
        <v>1.4014712664332272</v>
      </c>
      <c r="F82" s="75" t="s">
        <v>688</v>
      </c>
    </row>
    <row r="85" spans="1:6">
      <c r="A85" s="2" t="s">
        <v>689</v>
      </c>
    </row>
    <row r="86" spans="1:6">
      <c r="A86" s="85" t="s">
        <v>690</v>
      </c>
      <c r="B86" s="110" t="s">
        <v>691</v>
      </c>
      <c r="C86" s="109"/>
      <c r="D86" s="109"/>
      <c r="E86" s="109"/>
      <c r="F86" s="109"/>
    </row>
    <row r="87" spans="1:6">
      <c r="A87" s="85" t="s">
        <v>692</v>
      </c>
      <c r="B87" s="110" t="s">
        <v>693</v>
      </c>
      <c r="C87" s="109"/>
      <c r="D87" s="109"/>
      <c r="E87" s="109"/>
      <c r="F87" s="109"/>
    </row>
    <row r="88" spans="1:6">
      <c r="A88" s="85" t="s">
        <v>694</v>
      </c>
      <c r="B88" s="110" t="s">
        <v>695</v>
      </c>
      <c r="C88" s="109"/>
      <c r="D88" s="109"/>
      <c r="E88" s="109"/>
      <c r="F88" s="109"/>
    </row>
    <row r="89" spans="1:6">
      <c r="A89" s="85" t="s">
        <v>696</v>
      </c>
      <c r="B89" s="110" t="s">
        <v>697</v>
      </c>
      <c r="C89" s="109"/>
      <c r="D89" s="109"/>
      <c r="E89" s="109"/>
      <c r="F89" s="109"/>
    </row>
    <row r="90" spans="1:6">
      <c r="A90" s="85" t="s">
        <v>698</v>
      </c>
      <c r="B90" s="110" t="s">
        <v>699</v>
      </c>
      <c r="C90" s="109"/>
      <c r="D90" s="109"/>
      <c r="E90" s="109"/>
      <c r="F90" s="109"/>
    </row>
    <row r="91" spans="1:6">
      <c r="A91" s="85" t="s">
        <v>700</v>
      </c>
      <c r="B91" s="110" t="s">
        <v>701</v>
      </c>
      <c r="C91" s="109"/>
      <c r="D91" s="109"/>
      <c r="E91" s="109"/>
      <c r="F91" s="109"/>
    </row>
    <row r="92" spans="1:6">
      <c r="A92" s="85" t="s">
        <v>702</v>
      </c>
      <c r="B92" s="110" t="s">
        <v>703</v>
      </c>
      <c r="C92" s="109"/>
      <c r="D92" s="109"/>
      <c r="E92" s="109"/>
      <c r="F92" s="109"/>
    </row>
    <row r="93" spans="1:6">
      <c r="A93" s="85" t="s">
        <v>704</v>
      </c>
      <c r="B93" s="110" t="s">
        <v>705</v>
      </c>
      <c r="C93" s="109"/>
      <c r="D93" s="109"/>
      <c r="E93" s="109"/>
      <c r="F93" s="109"/>
    </row>
    <row r="94" spans="1:6">
      <c r="A94" s="85" t="s">
        <v>706</v>
      </c>
      <c r="B94" s="110" t="s">
        <v>707</v>
      </c>
      <c r="C94" s="109"/>
      <c r="D94" s="109"/>
      <c r="E94" s="109"/>
      <c r="F94" s="109"/>
    </row>
    <row r="95" spans="1:6">
      <c r="A95" s="85" t="s">
        <v>708</v>
      </c>
      <c r="B95" s="110" t="s">
        <v>709</v>
      </c>
      <c r="C95" s="109"/>
      <c r="D95" s="109"/>
      <c r="E95" s="109"/>
      <c r="F95" s="109"/>
    </row>
    <row r="96" spans="1:6">
      <c r="A96" s="85" t="s">
        <v>710</v>
      </c>
      <c r="B96" s="110" t="s">
        <v>711</v>
      </c>
      <c r="C96" s="109"/>
      <c r="D96" s="109"/>
      <c r="E96" s="109"/>
      <c r="F96" s="109"/>
    </row>
    <row r="97" spans="1:6">
      <c r="A97" s="85" t="s">
        <v>712</v>
      </c>
      <c r="B97" s="110" t="s">
        <v>713</v>
      </c>
      <c r="C97" s="109"/>
      <c r="D97" s="109"/>
      <c r="E97" s="109"/>
      <c r="F97" s="109"/>
    </row>
    <row r="98" spans="1:6">
      <c r="A98" s="85" t="s">
        <v>714</v>
      </c>
      <c r="B98" s="110" t="s">
        <v>715</v>
      </c>
      <c r="C98" s="109"/>
      <c r="D98" s="109"/>
      <c r="E98" s="109"/>
      <c r="F98" s="109"/>
    </row>
    <row r="99" spans="1:6">
      <c r="A99" s="85" t="s">
        <v>716</v>
      </c>
      <c r="B99" s="110" t="s">
        <v>717</v>
      </c>
      <c r="C99" s="109"/>
      <c r="D99" s="109"/>
      <c r="E99" s="109"/>
      <c r="F99" s="109"/>
    </row>
    <row r="100" spans="1:6">
      <c r="A100" s="85" t="s">
        <v>718</v>
      </c>
      <c r="B100" s="110" t="s">
        <v>719</v>
      </c>
      <c r="C100" s="109"/>
      <c r="D100" s="109"/>
      <c r="E100" s="109"/>
      <c r="F100" s="109"/>
    </row>
    <row r="101" spans="1:6">
      <c r="A101" s="85" t="s">
        <v>720</v>
      </c>
      <c r="B101" s="110" t="s">
        <v>721</v>
      </c>
      <c r="C101" s="109"/>
      <c r="D101" s="109"/>
      <c r="E101" s="109"/>
      <c r="F101" s="109"/>
    </row>
    <row r="102" spans="1:6">
      <c r="A102" s="85" t="s">
        <v>722</v>
      </c>
      <c r="B102" s="110" t="s">
        <v>723</v>
      </c>
      <c r="C102" s="109"/>
      <c r="D102" s="109"/>
      <c r="E102" s="109"/>
      <c r="F102" s="109"/>
    </row>
    <row r="103" spans="1:6">
      <c r="A103" s="85" t="s">
        <v>724</v>
      </c>
      <c r="B103" s="110" t="s">
        <v>725</v>
      </c>
      <c r="C103" s="109"/>
      <c r="D103" s="109"/>
      <c r="E103" s="109"/>
      <c r="F103" s="109"/>
    </row>
    <row r="104" spans="1:6">
      <c r="A104" s="85" t="s">
        <v>726</v>
      </c>
      <c r="B104" s="110" t="s">
        <v>727</v>
      </c>
      <c r="C104" s="109"/>
      <c r="D104" s="109"/>
      <c r="E104" s="109"/>
      <c r="F104" s="109"/>
    </row>
    <row r="105" spans="1:6">
      <c r="A105" s="85" t="s">
        <v>728</v>
      </c>
      <c r="B105" s="110" t="s">
        <v>729</v>
      </c>
      <c r="C105" s="109"/>
      <c r="D105" s="109"/>
      <c r="E105" s="109"/>
      <c r="F105" s="109"/>
    </row>
    <row r="106" spans="1:6">
      <c r="A106" s="85" t="s">
        <v>730</v>
      </c>
      <c r="B106" s="110" t="s">
        <v>731</v>
      </c>
      <c r="C106" s="109"/>
      <c r="D106" s="109"/>
      <c r="E106" s="109"/>
      <c r="F106" s="109"/>
    </row>
    <row r="107" spans="1:6">
      <c r="A107" s="85" t="s">
        <v>732</v>
      </c>
      <c r="B107" s="110" t="s">
        <v>733</v>
      </c>
      <c r="C107" s="109"/>
      <c r="D107" s="109"/>
      <c r="E107" s="109"/>
      <c r="F107" s="109"/>
    </row>
    <row r="108" spans="1:6">
      <c r="A108" s="85" t="s">
        <v>734</v>
      </c>
      <c r="B108" s="110" t="s">
        <v>735</v>
      </c>
      <c r="C108" s="109"/>
      <c r="D108" s="109"/>
      <c r="E108" s="109"/>
      <c r="F108" s="109"/>
    </row>
    <row r="109" spans="1:6">
      <c r="A109" s="85" t="s">
        <v>736</v>
      </c>
      <c r="B109" s="110" t="s">
        <v>737</v>
      </c>
      <c r="C109" s="109"/>
      <c r="D109" s="109"/>
      <c r="E109" s="109"/>
      <c r="F109" s="109"/>
    </row>
    <row r="110" spans="1:6">
      <c r="A110" s="85" t="s">
        <v>738</v>
      </c>
      <c r="B110" s="110" t="s">
        <v>739</v>
      </c>
      <c r="C110" s="109"/>
      <c r="D110" s="109"/>
      <c r="E110" s="109"/>
      <c r="F110" s="109"/>
    </row>
  </sheetData>
  <mergeCells count="28">
    <mergeCell ref="B105:F105"/>
    <mergeCell ref="B106:F106"/>
    <mergeCell ref="B91:F91"/>
    <mergeCell ref="B109:F109"/>
    <mergeCell ref="B100:F100"/>
    <mergeCell ref="B108:F108"/>
    <mergeCell ref="B94:F94"/>
    <mergeCell ref="A56:F56"/>
    <mergeCell ref="B93:F93"/>
    <mergeCell ref="B96:F96"/>
    <mergeCell ref="B102:F102"/>
    <mergeCell ref="B90:F90"/>
    <mergeCell ref="B110:F110"/>
    <mergeCell ref="B97:F97"/>
    <mergeCell ref="A42:F42"/>
    <mergeCell ref="B86:F86"/>
    <mergeCell ref="B98:F98"/>
    <mergeCell ref="B107:F107"/>
    <mergeCell ref="B101:F101"/>
    <mergeCell ref="B88:F88"/>
    <mergeCell ref="B87:F87"/>
    <mergeCell ref="A68:F68"/>
    <mergeCell ref="B103:F103"/>
    <mergeCell ref="B99:F99"/>
    <mergeCell ref="B92:F92"/>
    <mergeCell ref="B95:F95"/>
    <mergeCell ref="B89:F89"/>
    <mergeCell ref="B104:F104"/>
  </mergeCells>
  <hyperlinks>
    <hyperlink ref="B86" r:id="rId1" xr:uid="{00000000-0004-0000-0E00-000000000000}"/>
    <hyperlink ref="B87" r:id="rId2" xr:uid="{00000000-0004-0000-0E00-000001000000}"/>
    <hyperlink ref="B88" r:id="rId3" xr:uid="{00000000-0004-0000-0E00-000002000000}"/>
    <hyperlink ref="B89" r:id="rId4" xr:uid="{00000000-0004-0000-0E00-000003000000}"/>
    <hyperlink ref="B90" r:id="rId5" xr:uid="{00000000-0004-0000-0E00-000004000000}"/>
    <hyperlink ref="B91" r:id="rId6" xr:uid="{00000000-0004-0000-0E00-000005000000}"/>
    <hyperlink ref="B92" r:id="rId7" xr:uid="{00000000-0004-0000-0E00-000006000000}"/>
    <hyperlink ref="B93" r:id="rId8" xr:uid="{00000000-0004-0000-0E00-000007000000}"/>
    <hyperlink ref="B94" r:id="rId9" xr:uid="{00000000-0004-0000-0E00-000008000000}"/>
    <hyperlink ref="B95" r:id="rId10" xr:uid="{00000000-0004-0000-0E00-000009000000}"/>
    <hyperlink ref="B96" r:id="rId11" xr:uid="{00000000-0004-0000-0E00-00000A000000}"/>
    <hyperlink ref="B97" r:id="rId12" xr:uid="{00000000-0004-0000-0E00-00000B000000}"/>
    <hyperlink ref="B98" r:id="rId13" xr:uid="{00000000-0004-0000-0E00-00000C000000}"/>
    <hyperlink ref="B99" r:id="rId14" xr:uid="{00000000-0004-0000-0E00-00000D000000}"/>
    <hyperlink ref="B100" r:id="rId15" xr:uid="{00000000-0004-0000-0E00-00000E000000}"/>
    <hyperlink ref="B101" r:id="rId16" xr:uid="{00000000-0004-0000-0E00-00000F000000}"/>
    <hyperlink ref="B102" r:id="rId17" xr:uid="{00000000-0004-0000-0E00-000010000000}"/>
    <hyperlink ref="B103" r:id="rId18" xr:uid="{00000000-0004-0000-0E00-000011000000}"/>
    <hyperlink ref="B104" r:id="rId19" xr:uid="{00000000-0004-0000-0E00-000012000000}"/>
    <hyperlink ref="B105" r:id="rId20" xr:uid="{00000000-0004-0000-0E00-000013000000}"/>
    <hyperlink ref="B106" r:id="rId21" xr:uid="{00000000-0004-0000-0E00-000014000000}"/>
    <hyperlink ref="B107" r:id="rId22" xr:uid="{00000000-0004-0000-0E00-000015000000}"/>
    <hyperlink ref="B108" r:id="rId23" xr:uid="{00000000-0004-0000-0E00-000016000000}"/>
    <hyperlink ref="B109" r:id="rId24" xr:uid="{00000000-0004-0000-0E00-000017000000}"/>
    <hyperlink ref="B110" r:id="rId25" xr:uid="{00000000-0004-0000-0E00-000018000000}"/>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62"/>
  <sheetViews>
    <sheetView topLeftCell="C1" workbookViewId="0">
      <selection activeCell="M3" sqref="E3:M3"/>
    </sheetView>
  </sheetViews>
  <sheetFormatPr defaultRowHeight="14.45"/>
  <cols>
    <col min="1" max="1" width="46" customWidth="1"/>
    <col min="2" max="2" width="16" customWidth="1"/>
    <col min="3" max="3" width="14" customWidth="1"/>
    <col min="4" max="4" width="62" customWidth="1"/>
  </cols>
  <sheetData>
    <row r="1" spans="1:4" ht="17.100000000000001">
      <c r="A1" s="1" t="s">
        <v>740</v>
      </c>
    </row>
    <row r="2" spans="1:4">
      <c r="A2" s="56" t="s">
        <v>741</v>
      </c>
    </row>
    <row r="3" spans="1:4">
      <c r="C3" s="102" t="s">
        <v>742</v>
      </c>
      <c r="D3" s="111"/>
    </row>
    <row r="5" spans="1:4">
      <c r="A5" s="7" t="s">
        <v>743</v>
      </c>
      <c r="B5" s="8"/>
      <c r="C5" s="8"/>
      <c r="D5" s="8"/>
    </row>
    <row r="6" spans="1:4" ht="30" customHeight="1">
      <c r="A6" s="9" t="s">
        <v>744</v>
      </c>
      <c r="B6" s="13">
        <f>Comparables!B14</f>
        <v>10000000</v>
      </c>
      <c r="D6" s="82" t="s">
        <v>745</v>
      </c>
    </row>
    <row r="7" spans="1:4" ht="30" customHeight="1">
      <c r="A7" s="9" t="s">
        <v>746</v>
      </c>
      <c r="B7" s="13">
        <f>Comparables!B12</f>
        <v>286287</v>
      </c>
      <c r="D7" s="82" t="s">
        <v>745</v>
      </c>
    </row>
    <row r="8" spans="1:4" ht="30" customHeight="1">
      <c r="A8" s="9" t="s">
        <v>747</v>
      </c>
      <c r="B8" s="63">
        <f>B6/B7</f>
        <v>34.929982849378419</v>
      </c>
      <c r="D8" s="82" t="s">
        <v>748</v>
      </c>
    </row>
    <row r="9" spans="1:4" ht="30" customHeight="1">
      <c r="A9" s="9" t="s">
        <v>749</v>
      </c>
      <c r="B9" s="27">
        <f>Comparables!B9/Comparables!B8</f>
        <v>81.463098834700048</v>
      </c>
      <c r="D9" s="82" t="s">
        <v>750</v>
      </c>
    </row>
    <row r="10" spans="1:4" ht="30" customHeight="1">
      <c r="A10" s="9" t="s">
        <v>751</v>
      </c>
      <c r="B10" s="20">
        <v>1.06</v>
      </c>
      <c r="D10" s="82" t="s">
        <v>752</v>
      </c>
    </row>
    <row r="11" spans="1:4" ht="30" customHeight="1">
      <c r="A11" s="9" t="s">
        <v>753</v>
      </c>
      <c r="B11" s="20">
        <v>1.37</v>
      </c>
      <c r="D11" s="82" t="s">
        <v>754</v>
      </c>
    </row>
    <row r="12" spans="1:4" ht="15" customHeight="1">
      <c r="A12" s="2" t="s">
        <v>755</v>
      </c>
      <c r="B12" s="86">
        <f>B8*B10</f>
        <v>37.025781820341123</v>
      </c>
      <c r="D12" s="82"/>
    </row>
    <row r="13" spans="1:4" ht="15" customHeight="1">
      <c r="A13" s="2" t="s">
        <v>756</v>
      </c>
      <c r="B13" s="86">
        <f>B8*B11</f>
        <v>47.854076503648436</v>
      </c>
      <c r="D13" s="82"/>
    </row>
    <row r="14" spans="1:4">
      <c r="A14" s="7" t="s">
        <v>757</v>
      </c>
      <c r="B14" s="8"/>
      <c r="C14" s="8"/>
      <c r="D14" s="8"/>
    </row>
    <row r="15" spans="1:4" ht="15" customHeight="1">
      <c r="A15" s="9" t="s">
        <v>758</v>
      </c>
      <c r="B15" s="16">
        <v>4.99</v>
      </c>
      <c r="D15" s="82"/>
    </row>
    <row r="16" spans="1:4" ht="15" customHeight="1">
      <c r="A16" s="9" t="s">
        <v>759</v>
      </c>
      <c r="B16" s="16">
        <v>9.99</v>
      </c>
      <c r="D16" s="82"/>
    </row>
    <row r="17" spans="1:4" ht="15" customHeight="1">
      <c r="A17" s="9" t="s">
        <v>760</v>
      </c>
      <c r="B17" s="16">
        <v>24.99</v>
      </c>
      <c r="D17" s="82"/>
    </row>
    <row r="18" spans="1:4" ht="30" customHeight="1">
      <c r="A18" s="9" t="s">
        <v>761</v>
      </c>
      <c r="B18" s="12">
        <v>0.4</v>
      </c>
      <c r="D18" s="82" t="s">
        <v>762</v>
      </c>
    </row>
    <row r="19" spans="1:4" ht="15" customHeight="1">
      <c r="A19" s="9" t="s">
        <v>763</v>
      </c>
      <c r="B19" s="12">
        <v>0.5</v>
      </c>
      <c r="D19" s="82"/>
    </row>
    <row r="20" spans="1:4" ht="15" customHeight="1">
      <c r="A20" s="9" t="s">
        <v>764</v>
      </c>
      <c r="B20" s="12">
        <v>0.1</v>
      </c>
      <c r="D20" s="82"/>
    </row>
    <row r="21" spans="1:4" ht="15" customHeight="1">
      <c r="A21" s="9" t="s">
        <v>765</v>
      </c>
      <c r="B21" s="48">
        <f>B18+B19+B20</f>
        <v>1</v>
      </c>
      <c r="D21" s="82"/>
    </row>
    <row r="22" spans="1:4" ht="30" customHeight="1">
      <c r="A22" s="2" t="s">
        <v>766</v>
      </c>
      <c r="B22" s="87">
        <f>B15*B18+B16*B19+B17*B20</f>
        <v>9.49</v>
      </c>
      <c r="D22" s="82" t="s">
        <v>767</v>
      </c>
    </row>
    <row r="23" spans="1:4" ht="30" customHeight="1">
      <c r="A23" s="9" t="s">
        <v>768</v>
      </c>
      <c r="B23" s="26">
        <f>Comparables!B16</f>
        <v>6.1</v>
      </c>
      <c r="D23" s="82" t="s">
        <v>769</v>
      </c>
    </row>
    <row r="24" spans="1:4" ht="30" customHeight="1">
      <c r="A24" s="9" t="s">
        <v>770</v>
      </c>
      <c r="B24" s="20">
        <v>1</v>
      </c>
      <c r="D24" s="82" t="s">
        <v>771</v>
      </c>
    </row>
    <row r="25" spans="1:4" ht="30" customHeight="1">
      <c r="A25" s="9" t="s">
        <v>772</v>
      </c>
      <c r="B25" s="20">
        <v>0.87</v>
      </c>
      <c r="D25" s="82" t="s">
        <v>773</v>
      </c>
    </row>
    <row r="26" spans="1:4" ht="15" customHeight="1">
      <c r="A26" s="2" t="s">
        <v>774</v>
      </c>
      <c r="B26" s="87">
        <f>B22*B24</f>
        <v>9.49</v>
      </c>
      <c r="D26" s="82"/>
    </row>
    <row r="27" spans="1:4" ht="15" customHeight="1">
      <c r="A27" s="2" t="s">
        <v>775</v>
      </c>
      <c r="B27" s="87">
        <f>B22*B25</f>
        <v>8.2562999999999995</v>
      </c>
      <c r="D27" s="82"/>
    </row>
    <row r="28" spans="1:4">
      <c r="A28" s="7" t="s">
        <v>776</v>
      </c>
      <c r="B28" s="8"/>
      <c r="C28" s="8"/>
      <c r="D28" s="8"/>
    </row>
    <row r="29" spans="1:4" ht="15" customHeight="1">
      <c r="A29" s="9" t="s">
        <v>777</v>
      </c>
      <c r="B29" s="19">
        <f>Comparables!B19</f>
        <v>0.1</v>
      </c>
      <c r="D29" s="82"/>
    </row>
    <row r="30" spans="1:4" ht="15" customHeight="1">
      <c r="A30" s="9" t="s">
        <v>778</v>
      </c>
      <c r="B30" s="19">
        <f>Comparables!B20</f>
        <v>0.15</v>
      </c>
      <c r="D30" s="82"/>
    </row>
    <row r="31" spans="1:4" ht="15" customHeight="1">
      <c r="A31" s="9" t="s">
        <v>779</v>
      </c>
      <c r="B31" s="48">
        <f>(B29+B30)/2</f>
        <v>0.125</v>
      </c>
      <c r="D31" s="82"/>
    </row>
    <row r="32" spans="1:4" ht="30" customHeight="1">
      <c r="A32" s="9" t="s">
        <v>585</v>
      </c>
      <c r="B32" s="40">
        <f>Comparables!B21</f>
        <v>0.33300000000000002</v>
      </c>
      <c r="D32" s="82" t="s">
        <v>780</v>
      </c>
    </row>
    <row r="33" spans="1:4" ht="30" customHeight="1">
      <c r="A33" s="9" t="s">
        <v>781</v>
      </c>
      <c r="B33" s="12">
        <v>0.3</v>
      </c>
      <c r="D33" s="82" t="s">
        <v>782</v>
      </c>
    </row>
    <row r="34" spans="1:4" ht="30" customHeight="1">
      <c r="A34" s="9" t="s">
        <v>783</v>
      </c>
      <c r="B34" s="48">
        <f>B31*(1-B33)+B31*B32*B33</f>
        <v>9.9987499999999993E-2</v>
      </c>
      <c r="D34" s="82" t="s">
        <v>784</v>
      </c>
    </row>
    <row r="35" spans="1:4" ht="30" customHeight="1">
      <c r="A35" s="9" t="s">
        <v>785</v>
      </c>
      <c r="B35" s="20">
        <v>0.55000000000000004</v>
      </c>
      <c r="D35" s="82" t="s">
        <v>786</v>
      </c>
    </row>
    <row r="36" spans="1:4" ht="30" customHeight="1">
      <c r="A36" s="9" t="s">
        <v>787</v>
      </c>
      <c r="B36" s="20">
        <v>0.85</v>
      </c>
      <c r="D36" s="82" t="s">
        <v>788</v>
      </c>
    </row>
    <row r="37" spans="1:4" ht="15" customHeight="1">
      <c r="A37" s="2" t="s">
        <v>789</v>
      </c>
      <c r="B37" s="88">
        <f>B34*B35</f>
        <v>5.4993125000000004E-2</v>
      </c>
      <c r="D37" s="82"/>
    </row>
    <row r="38" spans="1:4" ht="15" customHeight="1">
      <c r="A38" s="2" t="s">
        <v>790</v>
      </c>
      <c r="B38" s="88">
        <f>B34*B36</f>
        <v>8.4989374999999992E-2</v>
      </c>
      <c r="D38" s="82"/>
    </row>
    <row r="39" spans="1:4">
      <c r="A39" s="7" t="s">
        <v>791</v>
      </c>
      <c r="B39" s="8"/>
      <c r="C39" s="8"/>
      <c r="D39" s="8"/>
    </row>
    <row r="40" spans="1:4" ht="30" customHeight="1">
      <c r="A40" s="9" t="s">
        <v>792</v>
      </c>
      <c r="B40" s="26">
        <f>Comparables!B7/Comparables!B8/12</f>
        <v>104.30153934685656</v>
      </c>
      <c r="D40" s="82" t="s">
        <v>793</v>
      </c>
    </row>
    <row r="41" spans="1:4" ht="30" customHeight="1">
      <c r="A41" s="9" t="s">
        <v>794</v>
      </c>
      <c r="B41" s="26">
        <f>Comparables!B15/Comparables!B12/12</f>
        <v>582.16638082297368</v>
      </c>
      <c r="D41" s="82" t="s">
        <v>795</v>
      </c>
    </row>
    <row r="42" spans="1:4" ht="30" customHeight="1">
      <c r="A42" s="2" t="s">
        <v>796</v>
      </c>
      <c r="B42" s="87">
        <f>B12*B22*(1-Assumptions!$C$40)</f>
        <v>298.66846905378168</v>
      </c>
      <c r="D42" s="82" t="s">
        <v>797</v>
      </c>
    </row>
    <row r="43" spans="1:4" ht="30" customHeight="1">
      <c r="A43" s="9" t="s">
        <v>798</v>
      </c>
      <c r="B43" s="19">
        <f>Comparables!B11</f>
        <v>0.76</v>
      </c>
      <c r="D43" s="82" t="s">
        <v>799</v>
      </c>
    </row>
    <row r="44" spans="1:4">
      <c r="A44" s="7" t="s">
        <v>800</v>
      </c>
      <c r="B44" s="8"/>
      <c r="C44" s="8"/>
      <c r="D44" s="8"/>
    </row>
    <row r="45" spans="1:4" ht="30" customHeight="1">
      <c r="A45" s="9" t="s">
        <v>801</v>
      </c>
      <c r="B45" s="20">
        <v>0.92</v>
      </c>
      <c r="D45" s="82" t="s">
        <v>802</v>
      </c>
    </row>
    <row r="46" spans="1:4" ht="30" customHeight="1">
      <c r="A46" s="9" t="s">
        <v>803</v>
      </c>
      <c r="B46" s="16">
        <v>300</v>
      </c>
      <c r="D46" s="82" t="s">
        <v>804</v>
      </c>
    </row>
    <row r="47" spans="1:4" ht="30" customHeight="1">
      <c r="A47" s="9" t="s">
        <v>805</v>
      </c>
      <c r="B47" s="26">
        <f>B46*(1-Comparables!B29)-B46/Assumptions!$C$54*Comparables!C29*B45-Comparables!D29*B45</f>
        <v>240</v>
      </c>
      <c r="D47" s="82" t="s">
        <v>806</v>
      </c>
    </row>
    <row r="48" spans="1:4" ht="30" customHeight="1">
      <c r="A48" s="9" t="s">
        <v>807</v>
      </c>
      <c r="B48" s="26">
        <f>B46*(1-Comparables!B32)-B46/Assumptions!$C$54*Comparables!C32*B45-Comparables!D32*B45</f>
        <v>270</v>
      </c>
      <c r="D48" s="82" t="s">
        <v>806</v>
      </c>
    </row>
    <row r="49" spans="1:4" ht="30" customHeight="1">
      <c r="A49" s="9" t="s">
        <v>808</v>
      </c>
      <c r="B49" s="26">
        <f>B46*(1-Comparables!B33)-B46/Assumptions!$C$54*Comparables!C33*B45-Comparables!D33*B45</f>
        <v>234.32</v>
      </c>
      <c r="D49" s="82" t="s">
        <v>806</v>
      </c>
    </row>
    <row r="50" spans="1:4" ht="30" customHeight="1">
      <c r="A50" s="9" t="s">
        <v>809</v>
      </c>
      <c r="B50" s="26">
        <f>B46*(1-Comparables!B34)-B46/Assumptions!$C$54*Comparables!C34*B45-Comparables!D34*B45</f>
        <v>255</v>
      </c>
      <c r="D50" s="82" t="s">
        <v>806</v>
      </c>
    </row>
    <row r="51" spans="1:4" ht="30" customHeight="1">
      <c r="A51" s="2" t="s">
        <v>810</v>
      </c>
      <c r="B51" s="22">
        <f>Comparables!D33*B45/((Comparables!B34-Comparables!B33)-Comparables!C33*B45/Assumptions!$C$54)</f>
        <v>1334.0000000000011</v>
      </c>
      <c r="D51" s="82" t="s">
        <v>811</v>
      </c>
    </row>
    <row r="52" spans="1:4">
      <c r="A52" s="7" t="s">
        <v>812</v>
      </c>
      <c r="B52" s="8"/>
      <c r="C52" s="8"/>
      <c r="D52" s="8"/>
    </row>
    <row r="53" spans="1:4" ht="30" customHeight="1">
      <c r="A53" s="9" t="s">
        <v>813</v>
      </c>
      <c r="B53" s="89">
        <v>2726.2</v>
      </c>
      <c r="D53" s="82" t="s">
        <v>814</v>
      </c>
    </row>
    <row r="54" spans="1:4" ht="30" customHeight="1">
      <c r="A54" s="9" t="s">
        <v>815</v>
      </c>
      <c r="B54" s="89">
        <v>48.6</v>
      </c>
      <c r="D54" s="82" t="s">
        <v>816</v>
      </c>
    </row>
    <row r="55" spans="1:4" ht="30" customHeight="1">
      <c r="A55" s="9" t="s">
        <v>817</v>
      </c>
      <c r="B55" s="12">
        <v>0.56000000000000005</v>
      </c>
      <c r="D55" s="82" t="s">
        <v>818</v>
      </c>
    </row>
    <row r="56" spans="1:4" ht="30" customHeight="1">
      <c r="A56" s="9" t="s">
        <v>819</v>
      </c>
      <c r="B56" s="12">
        <v>0.02</v>
      </c>
      <c r="D56" s="82" t="s">
        <v>820</v>
      </c>
    </row>
    <row r="57" spans="1:4" ht="30" customHeight="1">
      <c r="A57" s="9" t="s">
        <v>821</v>
      </c>
      <c r="B57" s="12">
        <v>0.25</v>
      </c>
      <c r="D57" s="82" t="s">
        <v>822</v>
      </c>
    </row>
    <row r="58" spans="1:4" ht="15" customHeight="1">
      <c r="A58" s="2" t="s">
        <v>823</v>
      </c>
      <c r="B58" s="90">
        <f>B54*1000000*B55*B56*B57</f>
        <v>136080.00000000003</v>
      </c>
      <c r="D58" s="82"/>
    </row>
    <row r="59" spans="1:4" ht="30" customHeight="1">
      <c r="A59" s="2" t="s">
        <v>824</v>
      </c>
      <c r="B59" s="90">
        <f>B53*1000000*0.5*B56*B57</f>
        <v>6815500</v>
      </c>
      <c r="D59" s="82" t="s">
        <v>825</v>
      </c>
    </row>
    <row r="60" spans="1:4" ht="15" customHeight="1">
      <c r="A60" s="9" t="s">
        <v>826</v>
      </c>
      <c r="B60" s="39">
        <f>Assumptions!$L$5</f>
        <v>8500</v>
      </c>
      <c r="D60" s="82"/>
    </row>
    <row r="61" spans="1:4" ht="15" customHeight="1">
      <c r="A61" s="2" t="s">
        <v>827</v>
      </c>
      <c r="B61" s="88">
        <f>Assumptions!$L$5/B58</f>
        <v>6.2463256907701339E-2</v>
      </c>
      <c r="D61" s="82"/>
    </row>
    <row r="62" spans="1:4" ht="30" customHeight="1">
      <c r="A62" s="2" t="s">
        <v>828</v>
      </c>
      <c r="B62" s="88">
        <f>Assumptions!$L$5/B59</f>
        <v>1.2471572151713007E-3</v>
      </c>
      <c r="D62" s="82" t="s">
        <v>829</v>
      </c>
    </row>
  </sheetData>
  <mergeCells count="1">
    <mergeCell ref="C3:D3"/>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53"/>
  <sheetViews>
    <sheetView topLeftCell="C1" workbookViewId="0">
      <pane ySplit="4" topLeftCell="A5" activePane="bottomLeft" state="frozen"/>
      <selection pane="bottomLeft"/>
    </sheetView>
  </sheetViews>
  <sheetFormatPr defaultRowHeight="14.45"/>
  <cols>
    <col min="1" max="1" width="38" customWidth="1"/>
    <col min="2" max="2" width="12" customWidth="1"/>
    <col min="3" max="3" width="14" customWidth="1"/>
    <col min="4" max="4" width="54" customWidth="1"/>
    <col min="5" max="5" width="44" customWidth="1"/>
    <col min="6" max="6" width="11" customWidth="1"/>
    <col min="7" max="7" width="44" customWidth="1"/>
  </cols>
  <sheetData>
    <row r="1" spans="1:7" ht="17.100000000000001">
      <c r="A1" s="1" t="s">
        <v>830</v>
      </c>
    </row>
    <row r="2" spans="1:7">
      <c r="A2" s="56" t="s">
        <v>831</v>
      </c>
    </row>
    <row r="4" spans="1:7">
      <c r="A4" s="91" t="s">
        <v>832</v>
      </c>
      <c r="B4" s="91" t="s">
        <v>833</v>
      </c>
      <c r="C4" s="91" t="s">
        <v>834</v>
      </c>
      <c r="D4" s="91" t="s">
        <v>835</v>
      </c>
      <c r="E4" s="91" t="s">
        <v>544</v>
      </c>
      <c r="F4" s="91" t="s">
        <v>836</v>
      </c>
      <c r="G4" s="91" t="s">
        <v>837</v>
      </c>
    </row>
    <row r="5" spans="1:7">
      <c r="A5" s="7" t="s">
        <v>838</v>
      </c>
      <c r="B5" s="8"/>
      <c r="C5" s="8"/>
      <c r="D5" s="8"/>
      <c r="E5" s="8"/>
      <c r="F5" s="8"/>
      <c r="G5" s="8"/>
    </row>
    <row r="6" spans="1:7" ht="57.95" customHeight="1">
      <c r="A6" s="77" t="s">
        <v>839</v>
      </c>
      <c r="B6" s="40">
        <f>Assumptions!$C$40</f>
        <v>0.15</v>
      </c>
      <c r="C6" s="92" t="s">
        <v>840</v>
      </c>
      <c r="D6" s="93" t="s">
        <v>841</v>
      </c>
      <c r="E6" s="93" t="s">
        <v>842</v>
      </c>
      <c r="F6" s="94" t="s">
        <v>843</v>
      </c>
      <c r="G6" s="93" t="s">
        <v>844</v>
      </c>
    </row>
    <row r="7" spans="1:7" ht="57.95" customHeight="1">
      <c r="A7" s="77" t="s">
        <v>845</v>
      </c>
      <c r="B7" s="40">
        <f>Assumptions!$C$42</f>
        <v>7.0000000000000007E-2</v>
      </c>
      <c r="C7" s="92" t="s">
        <v>840</v>
      </c>
      <c r="D7" s="93" t="s">
        <v>846</v>
      </c>
      <c r="E7" s="93" t="s">
        <v>847</v>
      </c>
      <c r="F7" s="94" t="s">
        <v>843</v>
      </c>
      <c r="G7" s="93" t="s">
        <v>848</v>
      </c>
    </row>
    <row r="8" spans="1:7" ht="57.95" customHeight="1">
      <c r="A8" s="77" t="s">
        <v>849</v>
      </c>
      <c r="B8" s="40">
        <f>Assumptions!$C$43</f>
        <v>0.05</v>
      </c>
      <c r="C8" s="92" t="s">
        <v>840</v>
      </c>
      <c r="D8" s="93" t="s">
        <v>850</v>
      </c>
      <c r="E8" s="93" t="s">
        <v>851</v>
      </c>
      <c r="F8" s="94" t="s">
        <v>843</v>
      </c>
      <c r="G8" s="93" t="s">
        <v>848</v>
      </c>
    </row>
    <row r="9" spans="1:7" ht="57.95" customHeight="1">
      <c r="A9" s="77" t="s">
        <v>304</v>
      </c>
      <c r="B9" s="40">
        <f>Assumptions!$C$44</f>
        <v>2</v>
      </c>
      <c r="C9" s="95" t="s">
        <v>198</v>
      </c>
      <c r="D9" s="93" t="s">
        <v>852</v>
      </c>
      <c r="E9" s="93" t="s">
        <v>853</v>
      </c>
      <c r="F9" s="96" t="s">
        <v>854</v>
      </c>
      <c r="G9" s="93" t="s">
        <v>855</v>
      </c>
    </row>
    <row r="10" spans="1:7" ht="57.95" customHeight="1">
      <c r="A10" s="77" t="s">
        <v>856</v>
      </c>
      <c r="B10" s="40">
        <f>Assumptions!$C$41</f>
        <v>0.1</v>
      </c>
      <c r="C10" s="92" t="s">
        <v>840</v>
      </c>
      <c r="D10" s="93" t="s">
        <v>857</v>
      </c>
      <c r="E10" s="93" t="s">
        <v>858</v>
      </c>
      <c r="F10" s="94" t="s">
        <v>843</v>
      </c>
      <c r="G10" s="93" t="s">
        <v>859</v>
      </c>
    </row>
    <row r="11" spans="1:7" ht="57.95" customHeight="1">
      <c r="A11" s="77" t="s">
        <v>860</v>
      </c>
      <c r="B11" s="97" t="s">
        <v>861</v>
      </c>
      <c r="C11" s="92" t="s">
        <v>840</v>
      </c>
      <c r="D11" s="93" t="s">
        <v>862</v>
      </c>
      <c r="E11" s="93" t="s">
        <v>863</v>
      </c>
      <c r="F11" s="98" t="s">
        <v>864</v>
      </c>
      <c r="G11" s="93" t="s">
        <v>865</v>
      </c>
    </row>
    <row r="12" spans="1:7" ht="57.95" customHeight="1">
      <c r="A12" s="77" t="s">
        <v>866</v>
      </c>
      <c r="B12" s="97" t="s">
        <v>861</v>
      </c>
      <c r="C12" s="99" t="s">
        <v>867</v>
      </c>
      <c r="D12" s="93" t="s">
        <v>868</v>
      </c>
      <c r="E12" s="93" t="s">
        <v>583</v>
      </c>
      <c r="F12" s="94" t="s">
        <v>843</v>
      </c>
      <c r="G12" s="93" t="s">
        <v>869</v>
      </c>
    </row>
    <row r="13" spans="1:7">
      <c r="A13" s="7" t="s">
        <v>870</v>
      </c>
      <c r="B13" s="8"/>
      <c r="C13" s="8"/>
      <c r="D13" s="8"/>
      <c r="E13" s="8"/>
      <c r="F13" s="8"/>
      <c r="G13" s="8"/>
    </row>
    <row r="14" spans="1:7" ht="57.95" customHeight="1">
      <c r="A14" s="77" t="s">
        <v>871</v>
      </c>
      <c r="B14" s="40">
        <f>Assumptions!$C$12</f>
        <v>8</v>
      </c>
      <c r="C14" s="92" t="s">
        <v>840</v>
      </c>
      <c r="D14" s="93" t="s">
        <v>872</v>
      </c>
      <c r="E14" s="93" t="s">
        <v>583</v>
      </c>
      <c r="F14" s="98" t="s">
        <v>864</v>
      </c>
      <c r="G14" s="93" t="s">
        <v>873</v>
      </c>
    </row>
    <row r="15" spans="1:7" ht="57.95" customHeight="1">
      <c r="A15" s="77" t="s">
        <v>874</v>
      </c>
      <c r="B15" s="40">
        <f>Assumptions!$C$13</f>
        <v>0.09</v>
      </c>
      <c r="C15" s="95" t="s">
        <v>198</v>
      </c>
      <c r="D15" s="93" t="s">
        <v>875</v>
      </c>
      <c r="E15" s="93" t="s">
        <v>876</v>
      </c>
      <c r="F15" s="96" t="s">
        <v>854</v>
      </c>
      <c r="G15" s="93" t="s">
        <v>877</v>
      </c>
    </row>
    <row r="16" spans="1:7" ht="57.95" customHeight="1">
      <c r="A16" s="77" t="s">
        <v>878</v>
      </c>
      <c r="B16" s="40">
        <f>Assumptions!$C$11</f>
        <v>20</v>
      </c>
      <c r="C16" s="100" t="s">
        <v>879</v>
      </c>
      <c r="D16" s="93" t="s">
        <v>880</v>
      </c>
      <c r="E16" s="93" t="s">
        <v>881</v>
      </c>
      <c r="F16" s="98" t="s">
        <v>864</v>
      </c>
      <c r="G16" s="93" t="s">
        <v>882</v>
      </c>
    </row>
    <row r="17" spans="1:7" ht="57.95" customHeight="1">
      <c r="A17" s="77" t="s">
        <v>883</v>
      </c>
      <c r="B17" s="40">
        <f>Assumptions!$C$10</f>
        <v>0</v>
      </c>
      <c r="C17" s="95" t="s">
        <v>198</v>
      </c>
      <c r="D17" s="93" t="s">
        <v>884</v>
      </c>
      <c r="E17" s="93" t="s">
        <v>885</v>
      </c>
      <c r="F17" s="96" t="s">
        <v>854</v>
      </c>
      <c r="G17" s="93" t="s">
        <v>886</v>
      </c>
    </row>
    <row r="18" spans="1:7" ht="57.95" customHeight="1">
      <c r="A18" s="77" t="s">
        <v>887</v>
      </c>
      <c r="B18" s="97" t="s">
        <v>861</v>
      </c>
      <c r="C18" s="95" t="s">
        <v>198</v>
      </c>
      <c r="D18" s="93" t="s">
        <v>888</v>
      </c>
      <c r="E18" s="93" t="s">
        <v>889</v>
      </c>
      <c r="F18" s="96" t="s">
        <v>854</v>
      </c>
      <c r="G18" s="93" t="s">
        <v>890</v>
      </c>
    </row>
    <row r="19" spans="1:7">
      <c r="A19" s="7" t="s">
        <v>891</v>
      </c>
      <c r="B19" s="8"/>
      <c r="C19" s="8"/>
      <c r="D19" s="8"/>
      <c r="E19" s="8"/>
      <c r="F19" s="8"/>
      <c r="G19" s="8"/>
    </row>
    <row r="20" spans="1:7" ht="57.95" customHeight="1">
      <c r="A20" s="77" t="s">
        <v>126</v>
      </c>
      <c r="B20" s="40">
        <f>Assumptions!$C$50</f>
        <v>1.9E-2</v>
      </c>
      <c r="C20" s="99" t="s">
        <v>867</v>
      </c>
      <c r="D20" s="93" t="s">
        <v>892</v>
      </c>
      <c r="E20" s="93" t="s">
        <v>893</v>
      </c>
      <c r="F20" s="94" t="s">
        <v>843</v>
      </c>
      <c r="G20" s="93" t="s">
        <v>894</v>
      </c>
    </row>
    <row r="21" spans="1:7" ht="57.95" customHeight="1">
      <c r="A21" s="77" t="s">
        <v>128</v>
      </c>
      <c r="B21" s="40">
        <f>Assumptions!$C$51</f>
        <v>0.25</v>
      </c>
      <c r="C21" s="99" t="s">
        <v>867</v>
      </c>
      <c r="D21" s="93" t="s">
        <v>895</v>
      </c>
      <c r="E21" s="93" t="s">
        <v>896</v>
      </c>
      <c r="F21" s="94" t="s">
        <v>843</v>
      </c>
      <c r="G21" s="93" t="s">
        <v>897</v>
      </c>
    </row>
    <row r="22" spans="1:7" ht="57.95" customHeight="1">
      <c r="A22" s="77" t="s">
        <v>898</v>
      </c>
      <c r="B22" s="40">
        <f>Assumptions!$C$52</f>
        <v>2.5000000000000001E-3</v>
      </c>
      <c r="C22" s="99" t="s">
        <v>867</v>
      </c>
      <c r="D22" s="93" t="s">
        <v>899</v>
      </c>
      <c r="E22" s="93" t="s">
        <v>900</v>
      </c>
      <c r="F22" s="98" t="s">
        <v>864</v>
      </c>
      <c r="G22" s="93" t="s">
        <v>901</v>
      </c>
    </row>
    <row r="23" spans="1:7">
      <c r="A23" s="7" t="s">
        <v>902</v>
      </c>
      <c r="B23" s="8"/>
      <c r="C23" s="8"/>
      <c r="D23" s="8"/>
      <c r="E23" s="8"/>
      <c r="F23" s="8"/>
      <c r="G23" s="8"/>
    </row>
    <row r="24" spans="1:7" ht="57.95" customHeight="1">
      <c r="A24" s="77" t="s">
        <v>903</v>
      </c>
      <c r="B24" s="97" t="s">
        <v>861</v>
      </c>
      <c r="C24" s="95" t="s">
        <v>198</v>
      </c>
      <c r="D24" s="93" t="s">
        <v>904</v>
      </c>
      <c r="E24" s="93" t="s">
        <v>905</v>
      </c>
      <c r="F24" s="98" t="s">
        <v>864</v>
      </c>
      <c r="G24" s="93" t="s">
        <v>906</v>
      </c>
    </row>
    <row r="25" spans="1:7" ht="57.95" customHeight="1">
      <c r="A25" s="77" t="s">
        <v>907</v>
      </c>
      <c r="B25" s="97" t="s">
        <v>861</v>
      </c>
      <c r="C25" s="99" t="s">
        <v>867</v>
      </c>
      <c r="D25" s="93" t="s">
        <v>908</v>
      </c>
      <c r="E25" s="93" t="s">
        <v>712</v>
      </c>
      <c r="F25" s="94" t="s">
        <v>843</v>
      </c>
      <c r="G25" s="93" t="s">
        <v>909</v>
      </c>
    </row>
    <row r="26" spans="1:7" ht="57.95" customHeight="1">
      <c r="A26" s="77" t="s">
        <v>910</v>
      </c>
      <c r="B26" s="97" t="s">
        <v>861</v>
      </c>
      <c r="C26" s="95" t="s">
        <v>198</v>
      </c>
      <c r="D26" s="93" t="s">
        <v>911</v>
      </c>
      <c r="E26" s="93" t="s">
        <v>912</v>
      </c>
      <c r="F26" s="96" t="s">
        <v>854</v>
      </c>
      <c r="G26" s="93" t="s">
        <v>913</v>
      </c>
    </row>
    <row r="27" spans="1:7" ht="57.95" customHeight="1">
      <c r="A27" s="77" t="s">
        <v>914</v>
      </c>
      <c r="B27" s="40">
        <f>Assumptions!$C$5</f>
        <v>250</v>
      </c>
      <c r="C27" s="95" t="s">
        <v>198</v>
      </c>
      <c r="D27" s="93" t="s">
        <v>915</v>
      </c>
      <c r="E27" s="93" t="s">
        <v>916</v>
      </c>
      <c r="F27" s="96" t="s">
        <v>854</v>
      </c>
      <c r="G27" s="93" t="s">
        <v>917</v>
      </c>
    </row>
    <row r="28" spans="1:7">
      <c r="A28" s="7" t="s">
        <v>918</v>
      </c>
      <c r="B28" s="8"/>
      <c r="C28" s="8"/>
      <c r="D28" s="8"/>
      <c r="E28" s="8"/>
      <c r="F28" s="8"/>
      <c r="G28" s="8"/>
    </row>
    <row r="29" spans="1:7" ht="57.95" customHeight="1">
      <c r="A29" s="77" t="s">
        <v>919</v>
      </c>
      <c r="B29" s="40">
        <f>Assumptions!$C$19</f>
        <v>16</v>
      </c>
      <c r="C29" s="95" t="s">
        <v>198</v>
      </c>
      <c r="D29" s="93" t="s">
        <v>920</v>
      </c>
      <c r="E29" s="93" t="s">
        <v>885</v>
      </c>
      <c r="F29" s="96" t="s">
        <v>854</v>
      </c>
      <c r="G29" s="93" t="s">
        <v>921</v>
      </c>
    </row>
    <row r="30" spans="1:7" ht="57.95" customHeight="1">
      <c r="A30" s="77" t="s">
        <v>922</v>
      </c>
      <c r="B30" s="40">
        <f>Assumptions!$C$98</f>
        <v>0.2</v>
      </c>
      <c r="C30" s="100" t="s">
        <v>879</v>
      </c>
      <c r="D30" s="93" t="s">
        <v>923</v>
      </c>
      <c r="E30" s="93" t="s">
        <v>924</v>
      </c>
      <c r="F30" s="98" t="s">
        <v>864</v>
      </c>
      <c r="G30" s="93" t="s">
        <v>925</v>
      </c>
    </row>
    <row r="31" spans="1:7" ht="57.95" customHeight="1">
      <c r="A31" s="77" t="s">
        <v>926</v>
      </c>
      <c r="B31" s="40">
        <f>Assumptions!$C$100</f>
        <v>0.45</v>
      </c>
      <c r="C31" s="95" t="s">
        <v>198</v>
      </c>
      <c r="D31" s="93" t="s">
        <v>927</v>
      </c>
      <c r="E31" s="93" t="s">
        <v>928</v>
      </c>
      <c r="F31" s="96" t="s">
        <v>854</v>
      </c>
      <c r="G31" s="93" t="s">
        <v>929</v>
      </c>
    </row>
    <row r="32" spans="1:7" ht="57.95" customHeight="1">
      <c r="A32" s="77" t="s">
        <v>930</v>
      </c>
      <c r="B32" s="40">
        <f>Assumptions!$C$103</f>
        <v>4</v>
      </c>
      <c r="C32" s="100" t="s">
        <v>879</v>
      </c>
      <c r="D32" s="93" t="s">
        <v>931</v>
      </c>
      <c r="E32" s="93" t="s">
        <v>932</v>
      </c>
      <c r="F32" s="98" t="s">
        <v>864</v>
      </c>
      <c r="G32" s="93" t="s">
        <v>933</v>
      </c>
    </row>
    <row r="33" spans="1:7" ht="57.95" customHeight="1">
      <c r="A33" s="77" t="s">
        <v>934</v>
      </c>
      <c r="B33" s="40">
        <f>Assumptions!$C$19</f>
        <v>16</v>
      </c>
      <c r="C33" s="95" t="s">
        <v>198</v>
      </c>
      <c r="D33" s="93" t="s">
        <v>935</v>
      </c>
      <c r="E33" s="93" t="s">
        <v>936</v>
      </c>
      <c r="F33" s="96" t="s">
        <v>854</v>
      </c>
      <c r="G33" s="93" t="s">
        <v>937</v>
      </c>
    </row>
    <row r="34" spans="1:7" ht="57.95" customHeight="1">
      <c r="A34" s="77" t="s">
        <v>938</v>
      </c>
      <c r="B34" s="40">
        <f>Assumptions!$C$67</f>
        <v>38000</v>
      </c>
      <c r="C34" s="92" t="s">
        <v>840</v>
      </c>
      <c r="D34" s="93" t="s">
        <v>939</v>
      </c>
      <c r="E34" s="93" t="s">
        <v>940</v>
      </c>
      <c r="F34" s="98" t="s">
        <v>864</v>
      </c>
      <c r="G34" s="93" t="s">
        <v>941</v>
      </c>
    </row>
    <row r="35" spans="1:7" ht="57.95" customHeight="1">
      <c r="A35" s="77" t="s">
        <v>942</v>
      </c>
      <c r="B35" s="40">
        <f>Assumptions!$C$58</f>
        <v>150</v>
      </c>
      <c r="C35" s="92" t="s">
        <v>840</v>
      </c>
      <c r="D35" s="93" t="s">
        <v>943</v>
      </c>
      <c r="E35" s="93" t="s">
        <v>944</v>
      </c>
      <c r="F35" s="98" t="s">
        <v>864</v>
      </c>
      <c r="G35" s="93" t="s">
        <v>945</v>
      </c>
    </row>
    <row r="36" spans="1:7" ht="57.95" customHeight="1">
      <c r="A36" s="77" t="s">
        <v>946</v>
      </c>
      <c r="B36" s="40">
        <f>Assumptions!$C$60</f>
        <v>8.0000000000000002E-3</v>
      </c>
      <c r="C36" s="99" t="s">
        <v>867</v>
      </c>
      <c r="D36" s="93" t="s">
        <v>947</v>
      </c>
      <c r="E36" s="93" t="s">
        <v>948</v>
      </c>
      <c r="F36" s="94" t="s">
        <v>843</v>
      </c>
      <c r="G36" s="93" t="s">
        <v>949</v>
      </c>
    </row>
    <row r="37" spans="1:7" ht="57.95" customHeight="1">
      <c r="A37" s="77" t="s">
        <v>950</v>
      </c>
      <c r="B37" s="40">
        <f>Assumptions!$C$62</f>
        <v>22</v>
      </c>
      <c r="C37" s="95" t="s">
        <v>198</v>
      </c>
      <c r="D37" s="93" t="s">
        <v>951</v>
      </c>
      <c r="E37" s="93" t="s">
        <v>952</v>
      </c>
      <c r="F37" s="96" t="s">
        <v>854</v>
      </c>
      <c r="G37" s="93" t="s">
        <v>953</v>
      </c>
    </row>
    <row r="38" spans="1:7">
      <c r="A38" s="7" t="s">
        <v>954</v>
      </c>
      <c r="B38" s="8"/>
      <c r="C38" s="8"/>
      <c r="D38" s="8"/>
      <c r="E38" s="8"/>
      <c r="F38" s="8"/>
      <c r="G38" s="8"/>
    </row>
    <row r="39" spans="1:7" ht="57.95" customHeight="1">
      <c r="A39" s="77" t="s">
        <v>955</v>
      </c>
      <c r="B39" s="40">
        <f>Assumptions!$C$93</f>
        <v>0.15</v>
      </c>
      <c r="C39" s="99" t="s">
        <v>867</v>
      </c>
      <c r="D39" s="93" t="s">
        <v>956</v>
      </c>
      <c r="E39" s="93" t="s">
        <v>957</v>
      </c>
      <c r="F39" s="94" t="s">
        <v>843</v>
      </c>
      <c r="G39" s="93" t="s">
        <v>958</v>
      </c>
    </row>
    <row r="40" spans="1:7" ht="57.95" customHeight="1">
      <c r="A40" s="77" t="s">
        <v>959</v>
      </c>
      <c r="B40" s="40">
        <f>Assumptions!$C$113</f>
        <v>3.2000000000000001E-2</v>
      </c>
      <c r="C40" s="99" t="s">
        <v>867</v>
      </c>
      <c r="D40" s="93" t="s">
        <v>960</v>
      </c>
      <c r="E40" s="93" t="s">
        <v>961</v>
      </c>
      <c r="F40" s="94" t="s">
        <v>843</v>
      </c>
      <c r="G40" s="93" t="s">
        <v>962</v>
      </c>
    </row>
    <row r="41" spans="1:7" ht="57.95" customHeight="1">
      <c r="A41" s="77" t="s">
        <v>215</v>
      </c>
      <c r="B41" s="97" t="s">
        <v>861</v>
      </c>
      <c r="C41" s="92" t="s">
        <v>840</v>
      </c>
      <c r="D41" s="93" t="s">
        <v>963</v>
      </c>
      <c r="E41" s="93" t="s">
        <v>964</v>
      </c>
      <c r="F41" s="98" t="s">
        <v>864</v>
      </c>
      <c r="G41" s="93" t="s">
        <v>965</v>
      </c>
    </row>
    <row r="42" spans="1:7" ht="57.95" customHeight="1">
      <c r="A42" s="77" t="s">
        <v>218</v>
      </c>
      <c r="B42" s="40">
        <f>Assumptions!$C$112</f>
        <v>6.5</v>
      </c>
      <c r="C42" s="92" t="s">
        <v>840</v>
      </c>
      <c r="D42" s="93" t="s">
        <v>966</v>
      </c>
      <c r="E42" s="93" t="s">
        <v>967</v>
      </c>
      <c r="F42" s="98" t="s">
        <v>864</v>
      </c>
      <c r="G42" s="93" t="s">
        <v>968</v>
      </c>
    </row>
    <row r="43" spans="1:7" ht="57.95" customHeight="1">
      <c r="A43" s="77" t="s">
        <v>217</v>
      </c>
      <c r="B43" s="40">
        <f>Assumptions!$C$111</f>
        <v>0.03</v>
      </c>
      <c r="C43" s="92" t="s">
        <v>840</v>
      </c>
      <c r="D43" s="93" t="s">
        <v>969</v>
      </c>
      <c r="E43" s="93" t="s">
        <v>970</v>
      </c>
      <c r="F43" s="98" t="s">
        <v>864</v>
      </c>
      <c r="G43" s="93" t="s">
        <v>971</v>
      </c>
    </row>
    <row r="44" spans="1:7">
      <c r="A44" s="7" t="s">
        <v>972</v>
      </c>
      <c r="B44" s="8"/>
      <c r="C44" s="8"/>
      <c r="D44" s="8"/>
      <c r="E44" s="8"/>
      <c r="F44" s="8"/>
      <c r="G44" s="8"/>
    </row>
    <row r="45" spans="1:7" ht="57.95" customHeight="1">
      <c r="A45" s="77" t="s">
        <v>973</v>
      </c>
      <c r="B45" s="97" t="s">
        <v>861</v>
      </c>
      <c r="C45" s="99" t="s">
        <v>867</v>
      </c>
      <c r="D45" s="93" t="s">
        <v>974</v>
      </c>
      <c r="E45" s="93" t="s">
        <v>975</v>
      </c>
      <c r="F45" s="94" t="s">
        <v>843</v>
      </c>
      <c r="G45" s="93" t="s">
        <v>976</v>
      </c>
    </row>
    <row r="46" spans="1:7" ht="57.95" customHeight="1">
      <c r="A46" s="77" t="s">
        <v>977</v>
      </c>
      <c r="B46" s="97" t="s">
        <v>861</v>
      </c>
      <c r="C46" s="99" t="s">
        <v>867</v>
      </c>
      <c r="D46" s="93" t="s">
        <v>978</v>
      </c>
      <c r="E46" s="93" t="s">
        <v>979</v>
      </c>
      <c r="F46" s="94" t="s">
        <v>843</v>
      </c>
      <c r="G46" s="93" t="s">
        <v>980</v>
      </c>
    </row>
    <row r="48" spans="1:7">
      <c r="A48" s="101" t="s">
        <v>981</v>
      </c>
    </row>
    <row r="49" spans="1:7" ht="30" customHeight="1">
      <c r="A49" s="112" t="s">
        <v>982</v>
      </c>
      <c r="B49" s="109"/>
      <c r="C49" s="109"/>
      <c r="D49" s="109"/>
      <c r="E49" s="109"/>
      <c r="F49" s="109"/>
      <c r="G49" s="109"/>
    </row>
    <row r="50" spans="1:7" ht="30" customHeight="1">
      <c r="A50" s="112" t="s">
        <v>983</v>
      </c>
      <c r="B50" s="109"/>
      <c r="C50" s="109"/>
      <c r="D50" s="109"/>
      <c r="E50" s="109"/>
      <c r="F50" s="109"/>
      <c r="G50" s="109"/>
    </row>
    <row r="51" spans="1:7" ht="30" customHeight="1">
      <c r="A51" s="112" t="s">
        <v>984</v>
      </c>
      <c r="B51" s="109"/>
      <c r="C51" s="109"/>
      <c r="D51" s="109"/>
      <c r="E51" s="109"/>
      <c r="F51" s="109"/>
      <c r="G51" s="109"/>
    </row>
    <row r="52" spans="1:7" ht="30" customHeight="1">
      <c r="A52" s="103"/>
      <c r="B52" s="109"/>
      <c r="C52" s="109"/>
      <c r="D52" s="109"/>
      <c r="E52" s="109"/>
      <c r="F52" s="109"/>
      <c r="G52" s="109"/>
    </row>
    <row r="53" spans="1:7" ht="30" customHeight="1">
      <c r="A53" s="103" t="s">
        <v>985</v>
      </c>
      <c r="B53" s="109"/>
      <c r="C53" s="109"/>
      <c r="D53" s="109"/>
      <c r="E53" s="109"/>
      <c r="F53" s="109"/>
      <c r="G53" s="109"/>
    </row>
  </sheetData>
  <mergeCells count="5">
    <mergeCell ref="A51:G51"/>
    <mergeCell ref="A53:G53"/>
    <mergeCell ref="A50:G50"/>
    <mergeCell ref="A52:G52"/>
    <mergeCell ref="A49:G4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Guest User</cp:lastModifiedBy>
  <cp:revision/>
  <dcterms:created xsi:type="dcterms:W3CDTF">2026-10-01T20:09:30Z</dcterms:created>
  <dcterms:modified xsi:type="dcterms:W3CDTF">2026-10-01T20:56:34Z</dcterms:modified>
  <cp:category/>
  <cp:contentStatus/>
</cp:coreProperties>
</file>