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3</v>
      </c>
      <c r="E60" s="21" t="n">
        <v>7</v>
      </c>
      <c r="F60" s="21" t="n">
        <v>14</v>
      </c>
      <c r="G60" s="21" t="n">
        <v>24</v>
      </c>
      <c r="H60" s="21" t="n">
        <v>36</v>
      </c>
      <c r="I60" s="21" t="n">
        <v>50</v>
      </c>
      <c r="J60" s="21" t="n">
        <v>62</v>
      </c>
      <c r="K60" s="21" t="n">
        <v>72</v>
      </c>
      <c r="L60" s="21" t="n">
        <v>80</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Assumptions!C80*Assumptions!C78+(1-Assumptions!C80)*Assumptions!C76</f>
        <v/>
      </c>
      <c r="D50" s="23">
        <f>Assumptions!D80*Assumptions!D78+(1-Assumptions!D80)*Assumptions!D76</f>
        <v/>
      </c>
      <c r="E50" s="23">
        <f>Assumptions!E80*Assumptions!E78+(1-Assumptions!E80)*Assumptions!E76</f>
        <v/>
      </c>
      <c r="F50" s="23">
        <f>Assumptions!F80*Assumptions!F78+(1-Assumptions!F80)*Assumptions!F76</f>
        <v/>
      </c>
      <c r="G50" s="23">
        <f>Assumptions!G80*Assumptions!G78+(1-Assumptions!G80)*Assumptions!G76</f>
        <v/>
      </c>
      <c r="H50" s="23">
        <f>Assumptions!H80*Assumptions!H78+(1-Assumptions!H80)*Assumptions!H76</f>
        <v/>
      </c>
      <c r="I50" s="23">
        <f>Assumptions!I80*Assumptions!I78+(1-Assumptions!I80)*Assumptions!I76</f>
        <v/>
      </c>
      <c r="J50" s="23">
        <f>Assumptions!J80*Assumptions!J78+(1-Assumptions!J80)*Assumptions!J76</f>
        <v/>
      </c>
      <c r="K50" s="23">
        <f>Assumptions!K80*Assumptions!K78+(1-Assumptions!K80)*Assumptions!K76</f>
        <v/>
      </c>
      <c r="L50" s="23">
        <f>Assumptions!L80*Assumptions!L78+(1-Assumptions!L80)*Assumptions!L76</f>
        <v/>
      </c>
    </row>
    <row r="51">
      <c r="A51" s="13" t="inlineStr">
        <is>
          <t>Blended review rate</t>
        </is>
      </c>
      <c r="B51" s="14" t="inlineStr">
        <is>
          <t>weighted by channel</t>
        </is>
      </c>
      <c r="C51" s="23">
        <f>Assumptions!C80*Assumptions!C79+(1-Assumptions!C80)*Assumptions!C77</f>
        <v/>
      </c>
      <c r="D51" s="23">
        <f>Assumptions!D80*Assumptions!D79+(1-Assumptions!D80)*Assumptions!D77</f>
        <v/>
      </c>
      <c r="E51" s="23">
        <f>Assumptions!E80*Assumptions!E79+(1-Assumptions!E80)*Assumptions!E77</f>
        <v/>
      </c>
      <c r="F51" s="23">
        <f>Assumptions!F80*Assumptions!F79+(1-Assumptions!F80)*Assumptions!F77</f>
        <v/>
      </c>
      <c r="G51" s="23">
        <f>Assumptions!G80*Assumptions!G79+(1-Assumptions!G80)*Assumptions!G77</f>
        <v/>
      </c>
      <c r="H51" s="23">
        <f>Assumptions!H80*Assumptions!H79+(1-Assumptions!H80)*Assumptions!H77</f>
        <v/>
      </c>
      <c r="I51" s="23">
        <f>Assumptions!I80*Assumptions!I79+(1-Assumptions!I80)*Assumptions!I77</f>
        <v/>
      </c>
      <c r="J51" s="23">
        <f>Assumptions!J80*Assumptions!J79+(1-Assumptions!J80)*Assumptions!J77</f>
        <v/>
      </c>
      <c r="K51" s="23">
        <f>Assumptions!K80*Assumptions!K79+(1-Assumptions!K80)*Assumptions!K77</f>
        <v/>
      </c>
      <c r="L51" s="23">
        <f>Assumptions!L80*Assumptions!L79+(1-Assumptions!L80)*Assumptions!L77</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C53*Assumptions!C81/60/Assumptions!C82</f>
        <v/>
      </c>
      <c r="D54" s="25">
        <f>D53*Assumptions!D81/60/Assumptions!D82</f>
        <v/>
      </c>
      <c r="E54" s="25">
        <f>E53*Assumptions!E81/60/Assumptions!E82</f>
        <v/>
      </c>
      <c r="F54" s="25">
        <f>F53*Assumptions!F81/60/Assumptions!F82</f>
        <v/>
      </c>
      <c r="G54" s="25">
        <f>G53*Assumptions!G81/60/Assumptions!G82</f>
        <v/>
      </c>
      <c r="H54" s="25">
        <f>H53*Assumptions!H81/60/Assumptions!H82</f>
        <v/>
      </c>
      <c r="I54" s="25">
        <f>I53*Assumptions!I81/60/Assumptions!I82</f>
        <v/>
      </c>
      <c r="J54" s="25">
        <f>J53*Assumptions!J81/60/Assumptions!J82</f>
        <v/>
      </c>
      <c r="K54" s="25">
        <f>K53*Assumptions!K81/60/Assumptions!K82</f>
        <v/>
      </c>
      <c r="L54" s="25">
        <f>L53*Assumptions!L81/60/Assumptions!L82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Drivers!C19*Assumptions!C12*12/(1+Assumptions!C42)</f>
        <v/>
      </c>
      <c r="D5" s="30">
        <f>Drivers!D19*Assumptions!D12*12/(1+Assumptions!D42)</f>
        <v/>
      </c>
      <c r="E5" s="30">
        <f>Drivers!E19*Assumptions!E12*12/(1+Assumptions!E42)</f>
        <v/>
      </c>
      <c r="F5" s="30">
        <f>Drivers!F19*Assumptions!F12*12/(1+Assumptions!F42)</f>
        <v/>
      </c>
      <c r="G5" s="30">
        <f>Drivers!G19*Assumptions!G12*12/(1+Assumptions!G42)</f>
        <v/>
      </c>
      <c r="H5" s="30">
        <f>Drivers!H19*Assumptions!H12*12/(1+Assumptions!H42)</f>
        <v/>
      </c>
      <c r="I5" s="30">
        <f>Drivers!I19*Assumptions!I12*12/(1+Assumptions!I42)</f>
        <v/>
      </c>
      <c r="J5" s="30">
        <f>Drivers!J19*Assumptions!J12*12/(1+Assumptions!J42)</f>
        <v/>
      </c>
      <c r="K5" s="30">
        <f>Drivers!K19*Assumptions!K12*12/(1+Assumptions!K42)</f>
        <v/>
      </c>
      <c r="L5" s="30">
        <f>Drivers!L19*Assumptions!L12*12/(1+Assumptions!L42)</f>
        <v/>
      </c>
    </row>
    <row r="6">
      <c r="A6" s="13" t="inlineStr">
        <is>
          <t>Popular subscription GMV</t>
        </is>
      </c>
      <c r="B6" s="14" t="inlineStr">
        <is>
          <t>ex-VAT</t>
        </is>
      </c>
      <c r="C6" s="30">
        <f>Drivers!C32*Assumptions!C24*12/(1+Assumptions!C42)</f>
        <v/>
      </c>
      <c r="D6" s="30">
        <f>Drivers!D32*Assumptions!D24*12/(1+Assumptions!D42)</f>
        <v/>
      </c>
      <c r="E6" s="30">
        <f>Drivers!E32*Assumptions!E24*12/(1+Assumptions!E42)</f>
        <v/>
      </c>
      <c r="F6" s="30">
        <f>Drivers!F32*Assumptions!F24*12/(1+Assumptions!F42)</f>
        <v/>
      </c>
      <c r="G6" s="30">
        <f>Drivers!G32*Assumptions!G24*12/(1+Assumptions!G42)</f>
        <v/>
      </c>
      <c r="H6" s="30">
        <f>Drivers!H32*Assumptions!H24*12/(1+Assumptions!H42)</f>
        <v/>
      </c>
      <c r="I6" s="30">
        <f>Drivers!I32*Assumptions!I24*12/(1+Assumptions!I42)</f>
        <v/>
      </c>
      <c r="J6" s="30">
        <f>Drivers!J32*Assumptions!J24*12/(1+Assumptions!J42)</f>
        <v/>
      </c>
      <c r="K6" s="30">
        <f>Drivers!K32*Assumptions!K24*12/(1+Assumptions!K42)</f>
        <v/>
      </c>
      <c r="L6" s="30">
        <f>Drivers!L32*Assumptions!L24*12/(1+Assumptions!L42)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4">
        <f>C7+C8</f>
        <v/>
      </c>
      <c r="D9" s="44">
        <f>D7+D8</f>
        <v/>
      </c>
      <c r="E9" s="44">
        <f>E7+E8</f>
        <v/>
      </c>
      <c r="F9" s="44">
        <f>F7+F8</f>
        <v/>
      </c>
      <c r="G9" s="44">
        <f>G7+G8</f>
        <v/>
      </c>
      <c r="H9" s="44">
        <f>H7+H8</f>
        <v/>
      </c>
      <c r="I9" s="44">
        <f>I7+I8</f>
        <v/>
      </c>
      <c r="J9" s="44">
        <f>J7+J8</f>
        <v/>
      </c>
      <c r="K9" s="44">
        <f>K7+K8</f>
        <v/>
      </c>
      <c r="L9" s="44">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Drivers!C42*Assumptions!C18</f>
        <v/>
      </c>
      <c r="D13" s="30">
        <f>Drivers!D42*Assumptions!D18</f>
        <v/>
      </c>
      <c r="E13" s="30">
        <f>Drivers!E42*Assumptions!E18</f>
        <v/>
      </c>
      <c r="F13" s="30">
        <f>Drivers!F42*Assumptions!F18</f>
        <v/>
      </c>
      <c r="G13" s="30">
        <f>Drivers!G42*Assumptions!G18</f>
        <v/>
      </c>
      <c r="H13" s="30">
        <f>Drivers!H42*Assumptions!H18</f>
        <v/>
      </c>
      <c r="I13" s="30">
        <f>Drivers!I42*Assumptions!I18</f>
        <v/>
      </c>
      <c r="J13" s="30">
        <f>Drivers!J42*Assumptions!J18</f>
        <v/>
      </c>
      <c r="K13" s="30">
        <f>Drivers!K42*Assumptions!K18</f>
        <v/>
      </c>
      <c r="L13" s="30">
        <f>Drivers!L42*Assumptions!L18</f>
        <v/>
      </c>
    </row>
    <row r="14">
      <c r="A14" s="13" t="inlineStr">
        <is>
          <t>Popular sponsorship GMV</t>
        </is>
      </c>
      <c r="B14" s="14" t="inlineStr"/>
      <c r="C14" s="30">
        <f>Drivers!C43*Assumptions!C30</f>
        <v/>
      </c>
      <c r="D14" s="30">
        <f>Drivers!D43*Assumptions!D30</f>
        <v/>
      </c>
      <c r="E14" s="30">
        <f>Drivers!E43*Assumptions!E30</f>
        <v/>
      </c>
      <c r="F14" s="30">
        <f>Drivers!F43*Assumptions!F30</f>
        <v/>
      </c>
      <c r="G14" s="30">
        <f>Drivers!G43*Assumptions!G30</f>
        <v/>
      </c>
      <c r="H14" s="30">
        <f>Drivers!H43*Assumptions!H30</f>
        <v/>
      </c>
      <c r="I14" s="30">
        <f>Drivers!I43*Assumptions!I30</f>
        <v/>
      </c>
      <c r="J14" s="30">
        <f>Drivers!J43*Assumptions!J30</f>
        <v/>
      </c>
      <c r="K14" s="30">
        <f>Drivers!K43*Assumptions!K30</f>
        <v/>
      </c>
      <c r="L14" s="30">
        <f>Drivers!L43*Assumptions!L30</f>
        <v/>
      </c>
    </row>
    <row r="15">
      <c r="A15" s="39" t="inlineStr">
        <is>
          <t>Total sponsorship GMV</t>
        </is>
      </c>
      <c r="B15" s="40" t="inlineStr"/>
      <c r="C15" s="44">
        <f>C13+C14</f>
        <v/>
      </c>
      <c r="D15" s="44">
        <f>D13+D14</f>
        <v/>
      </c>
      <c r="E15" s="44">
        <f>E13+E14</f>
        <v/>
      </c>
      <c r="F15" s="44">
        <f>F13+F14</f>
        <v/>
      </c>
      <c r="G15" s="44">
        <f>G13+G14</f>
        <v/>
      </c>
      <c r="H15" s="44">
        <f>H13+H14</f>
        <v/>
      </c>
      <c r="I15" s="44">
        <f>I13+I14</f>
        <v/>
      </c>
      <c r="J15" s="44">
        <f>J13+J14</f>
        <v/>
      </c>
      <c r="K15" s="44">
        <f>K13+K14</f>
        <v/>
      </c>
      <c r="L15" s="44">
        <f>L13+L14</f>
        <v/>
      </c>
    </row>
    <row r="16">
      <c r="A16" s="45" t="inlineStr">
        <is>
          <t>TOTAL GMV</t>
        </is>
      </c>
      <c r="B16" s="40" t="inlineStr"/>
      <c r="C16" s="46">
        <f>C9+C15</f>
        <v/>
      </c>
      <c r="D16" s="46">
        <f>D9+D15</f>
        <v/>
      </c>
      <c r="E16" s="46">
        <f>E9+E15</f>
        <v/>
      </c>
      <c r="F16" s="46">
        <f>F9+F15</f>
        <v/>
      </c>
      <c r="G16" s="46">
        <f>G9+G15</f>
        <v/>
      </c>
      <c r="H16" s="46">
        <f>H9+H15</f>
        <v/>
      </c>
      <c r="I16" s="46">
        <f>I9+I15</f>
        <v/>
      </c>
      <c r="J16" s="46">
        <f>J9+J15</f>
        <v/>
      </c>
      <c r="K16" s="46">
        <f>K9+K15</f>
        <v/>
      </c>
      <c r="L16" s="46">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Drivers!C46*Assumptions!C36*12</f>
        <v/>
      </c>
      <c r="D21" s="30">
        <f>Drivers!D46*Assumptions!D36*12</f>
        <v/>
      </c>
      <c r="E21" s="30">
        <f>Drivers!E46*Assumptions!E36*12</f>
        <v/>
      </c>
      <c r="F21" s="30">
        <f>Drivers!F46*Assumptions!F36*12</f>
        <v/>
      </c>
      <c r="G21" s="30">
        <f>Drivers!G46*Assumptions!G36*12</f>
        <v/>
      </c>
      <c r="H21" s="30">
        <f>Drivers!H46*Assumptions!H36*12</f>
        <v/>
      </c>
      <c r="I21" s="30">
        <f>Drivers!I46*Assumptions!I36*12</f>
        <v/>
      </c>
      <c r="J21" s="30">
        <f>Drivers!J46*Assumptions!J36*12</f>
        <v/>
      </c>
      <c r="K21" s="30">
        <f>Drivers!K46*Assumptions!K36*12</f>
        <v/>
      </c>
      <c r="L21" s="30">
        <f>Drivers!L46*Assumptions!L36*12</f>
        <v/>
      </c>
    </row>
    <row r="22">
      <c r="A22" s="45" t="inlineStr">
        <is>
          <t>NET REVENUE</t>
        </is>
      </c>
      <c r="B22" s="40" t="inlineStr"/>
      <c r="C22" s="46">
        <f>SUM(C19:C21)</f>
        <v/>
      </c>
      <c r="D22" s="46">
        <f>SUM(D19:D21)</f>
        <v/>
      </c>
      <c r="E22" s="46">
        <f>SUM(E19:E21)</f>
        <v/>
      </c>
      <c r="F22" s="46">
        <f>SUM(F19:F21)</f>
        <v/>
      </c>
      <c r="G22" s="46">
        <f>SUM(G19:G21)</f>
        <v/>
      </c>
      <c r="H22" s="46">
        <f>SUM(H19:H21)</f>
        <v/>
      </c>
      <c r="I22" s="46">
        <f>SUM(I19:I21)</f>
        <v/>
      </c>
      <c r="J22" s="46">
        <f>SUM(J19:J21)</f>
        <v/>
      </c>
      <c r="K22" s="46">
        <f>SUM(K19:K21)</f>
        <v/>
      </c>
      <c r="L22" s="46">
        <f>SUM(L19:L21)</f>
        <v/>
      </c>
    </row>
    <row r="23">
      <c r="A23" s="13" t="inlineStr">
        <is>
          <t>Growth</t>
        </is>
      </c>
      <c r="B23" s="14" t="inlineStr">
        <is>
          <t>% YoY</t>
        </is>
      </c>
      <c r="C23" s="47">
        <f>IF(1=1,"",C22/C22-1)</f>
        <v/>
      </c>
      <c r="D23" s="47">
        <f>IF(2=1,"",D22/C22-1)</f>
        <v/>
      </c>
      <c r="E23" s="47">
        <f>IF(3=1,"",E22/D22-1)</f>
        <v/>
      </c>
      <c r="F23" s="47">
        <f>IF(4=1,"",F22/E22-1)</f>
        <v/>
      </c>
      <c r="G23" s="47">
        <f>IF(5=1,"",G22/F22-1)</f>
        <v/>
      </c>
      <c r="H23" s="47">
        <f>IF(6=1,"",H22/G22-1)</f>
        <v/>
      </c>
      <c r="I23" s="47">
        <f>IF(7=1,"",I22/H22-1)</f>
        <v/>
      </c>
      <c r="J23" s="47">
        <f>IF(8=1,"",J22/I22-1)</f>
        <v/>
      </c>
      <c r="K23" s="47">
        <f>IF(9=1,"",K22/J22-1)</f>
        <v/>
      </c>
      <c r="L23" s="47">
        <f>IF(10=1,"",L22/K22-1)</f>
        <v/>
      </c>
    </row>
    <row r="24">
      <c r="A24" s="13" t="inlineStr">
        <is>
          <t>Take rate on GMV</t>
        </is>
      </c>
      <c r="B24" s="14" t="inlineStr">
        <is>
          <t>blended</t>
        </is>
      </c>
      <c r="C24" s="47">
        <f>C22/C16</f>
        <v/>
      </c>
      <c r="D24" s="47">
        <f>D22/D16</f>
        <v/>
      </c>
      <c r="E24" s="47">
        <f>E22/E16</f>
        <v/>
      </c>
      <c r="F24" s="47">
        <f>F22/F16</f>
        <v/>
      </c>
      <c r="G24" s="47">
        <f>G22/G16</f>
        <v/>
      </c>
      <c r="H24" s="47">
        <f>H22/H16</f>
        <v/>
      </c>
      <c r="I24" s="47">
        <f>I22/I16</f>
        <v/>
      </c>
      <c r="J24" s="47">
        <f>J22/J16</f>
        <v/>
      </c>
      <c r="K24" s="47">
        <f>K22/K16</f>
        <v/>
      </c>
      <c r="L24" s="47">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Drivers!C37*Assumptions!C53*12</f>
        <v/>
      </c>
      <c r="D9" s="17">
        <f>Drivers!D37*Assumptions!D53*12</f>
        <v/>
      </c>
      <c r="E9" s="17">
        <f>Drivers!E37*Assumptions!E53*12</f>
        <v/>
      </c>
      <c r="F9" s="17">
        <f>Drivers!F37*Assumptions!F53*12</f>
        <v/>
      </c>
      <c r="G9" s="17">
        <f>Drivers!G37*Assumptions!G53*12</f>
        <v/>
      </c>
      <c r="H9" s="17">
        <f>Drivers!H37*Assumptions!H53*12</f>
        <v/>
      </c>
      <c r="I9" s="17">
        <f>Drivers!I37*Assumptions!I53*12</f>
        <v/>
      </c>
      <c r="J9" s="17">
        <f>Drivers!J37*Assumptions!J53*12</f>
        <v/>
      </c>
      <c r="K9" s="17">
        <f>Drivers!K37*Assumptions!K53*12</f>
        <v/>
      </c>
      <c r="L9" s="17">
        <f>Drivers!L37*Assumptions!L53*12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Drivers!C53*Assumptions!C81/60*(Assumptions!C61/Assumptions!C82)</f>
        <v/>
      </c>
      <c r="D13" s="30">
        <f>Drivers!D53*Assumptions!D81/60*(Assumptions!D61/Assumptions!D82)</f>
        <v/>
      </c>
      <c r="E13" s="30">
        <f>Drivers!E53*Assumptions!E81/60*(Assumptions!E61/Assumptions!E82)</f>
        <v/>
      </c>
      <c r="F13" s="30">
        <f>Drivers!F53*Assumptions!F81/60*(Assumptions!F61/Assumptions!F82)</f>
        <v/>
      </c>
      <c r="G13" s="30">
        <f>Drivers!G53*Assumptions!G81/60*(Assumptions!G61/Assumptions!G82)</f>
        <v/>
      </c>
      <c r="H13" s="30">
        <f>Drivers!H53*Assumptions!H81/60*(Assumptions!H61/Assumptions!H82)</f>
        <v/>
      </c>
      <c r="I13" s="30">
        <f>Drivers!I53*Assumptions!I81/60*(Assumptions!I61/Assumptions!I82)</f>
        <v/>
      </c>
      <c r="J13" s="30">
        <f>Drivers!J53*Assumptions!J81/60*(Assumptions!J61/Assumptions!J82)</f>
        <v/>
      </c>
      <c r="K13" s="30">
        <f>Drivers!K53*Assumptions!K81/60*(Assumptions!K61/Assumptions!K82)</f>
        <v/>
      </c>
      <c r="L13" s="30">
        <f>Drivers!L53*Assumptions!L81/60*(Assumptions!L61/Assumptions!L82)</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GMV owed, not yet paid</t>
        </is>
      </c>
      <c r="C6" s="30">
        <f>Revenue!C16*Assumptions!C66/365</f>
        <v/>
      </c>
      <c r="D6" s="30">
        <f>Revenue!D16*Assumptions!D66/365</f>
        <v/>
      </c>
      <c r="E6" s="30">
        <f>Revenue!E16*Assumptions!E66/365</f>
        <v/>
      </c>
      <c r="F6" s="30">
        <f>Revenue!F16*Assumptions!F66/365</f>
        <v/>
      </c>
      <c r="G6" s="30">
        <f>Revenue!G16*Assumptions!G66/365</f>
        <v/>
      </c>
      <c r="H6" s="30">
        <f>Revenue!H16*Assumptions!H66/365</f>
        <v/>
      </c>
      <c r="I6" s="30">
        <f>Revenue!I16*Assumptions!I66/365</f>
        <v/>
      </c>
      <c r="J6" s="30">
        <f>Revenue!J16*Assumptions!J66/365</f>
        <v/>
      </c>
      <c r="K6" s="30">
        <f>Revenue!K16*Assumptions!K66/365</f>
        <v/>
      </c>
      <c r="L6" s="30">
        <f>Revenue!L16*Assumptions!L66/365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Revenue!C22</f>
        <v/>
      </c>
      <c r="D4" s="49">
        <f>Revenue!D22</f>
        <v/>
      </c>
      <c r="E4" s="49">
        <f>Revenue!E22</f>
        <v/>
      </c>
      <c r="F4" s="49">
        <f>Revenue!F22</f>
        <v/>
      </c>
      <c r="G4" s="49">
        <f>Revenue!G22</f>
        <v/>
      </c>
      <c r="H4" s="49">
        <f>Revenue!H22</f>
        <v/>
      </c>
      <c r="I4" s="49">
        <f>Revenue!I22</f>
        <v/>
      </c>
      <c r="J4" s="49">
        <f>Revenue!J22</f>
        <v/>
      </c>
      <c r="K4" s="49">
        <f>Revenue!K22</f>
        <v/>
      </c>
      <c r="L4" s="49">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L4*(1+Assumptions!$C$86)/(Assumptions!$C$85-Assumptions!$C$86)</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NPV(Assumptions!$C$85,C4:L4)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Revenue!L22</f>
        <v/>
      </c>
    </row>
    <row r="22">
      <c r="A22" s="13" t="inlineStr">
        <is>
          <t>Exit value at Y10</t>
        </is>
      </c>
      <c r="C22" s="52">
        <f>C21*Assumptions!$C$87</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Fenix International Ltd filed accounts (Companies House 10354575)</t>
        </is>
      </c>
    </row>
    <row r="6">
      <c r="A6" s="58" t="inlineStr">
        <is>
          <t>Net revenue</t>
        </is>
      </c>
      <c r="B6" s="59" t="n">
        <v>1410000000</v>
      </c>
      <c r="C6" s="60" t="inlineStr">
        <is>
          <t>USD</t>
        </is>
      </c>
      <c r="D6" s="60" t="inlineStr">
        <is>
          <t>OnlyFans</t>
        </is>
      </c>
      <c r="E6" s="60" t="inlineStr">
        <is>
          <t>FY2024</t>
        </is>
      </c>
      <c r="F6" s="60" t="inlineStr">
        <is>
          <t>Fenix International Ltd filed accounts (Companies House 10354575)</t>
        </is>
      </c>
    </row>
    <row r="7">
      <c r="A7" s="58" t="inlineStr">
        <is>
          <t>Paid to creators</t>
        </is>
      </c>
      <c r="B7" s="59" t="n">
        <v>5800000000</v>
      </c>
      <c r="C7" s="60" t="inlineStr">
        <is>
          <t>USD</t>
        </is>
      </c>
      <c r="D7" s="60" t="inlineStr">
        <is>
          <t>OnlyFans</t>
        </is>
      </c>
      <c r="E7" s="60" t="inlineStr">
        <is>
          <t>FY2024</t>
        </is>
      </c>
      <c r="F7" s="60" t="inlineStr">
        <is>
          <t>Fenix International Ltd filed accounts — 80.3% of gross</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Derived: 1.41bn / 7.22bn = 19.5% (filed accounts)</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Published: 10% all-in, processing included</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 filed accounts (Fenix International Ltd)</t>
        </is>
      </c>
      <c r="B43" s="67" t="inlineStr">
        <is>
          <t>https://find-and-update.company-information.service.gov.uk/company/10354575/filing-history</t>
        </is>
      </c>
    </row>
    <row r="44">
      <c r="A44" s="66" t="inlineStr">
        <is>
          <t>OnlyFans FY2024 as reported</t>
        </is>
      </c>
      <c r="B44" s="67" t="inlineStr">
        <is>
          <t>https://variety.com/2025/digital/news/onlyfans-fiscal-2024-revenue-earnings-1236495750/</t>
        </is>
      </c>
    </row>
    <row r="45">
      <c r="A45" s="66" t="inlineStr">
        <is>
          <t>Patreon published take rate</t>
        </is>
      </c>
      <c r="B45" s="67" t="inlineStr">
        <is>
          <t>https://www.patreon.com/pricing</t>
        </is>
      </c>
    </row>
    <row r="46">
      <c r="A46" s="66" t="inlineStr">
        <is>
          <t>Patreon creators</t>
        </is>
      </c>
      <c r="B46" s="67" t="inlineStr">
        <is>
          <t>https://backlinko.com/patreon-users</t>
        </is>
      </c>
    </row>
    <row r="47">
      <c r="A47" s="66" t="inlineStr">
        <is>
          <t>Passes economics</t>
        </is>
      </c>
      <c r="B47" s="67" t="inlineStr">
        <is>
          <t>https://sacra.com/c/passes/</t>
        </is>
      </c>
    </row>
    <row r="48">
      <c r="A48" s="66" t="inlineStr">
        <is>
          <t>Fanfix creator terms (states no take rate)</t>
        </is>
      </c>
      <c r="B48" s="67" t="inlineStr">
        <is>
          <t>https://auth.fanfix.io/creator-terms-of-use</t>
        </is>
      </c>
    </row>
    <row r="49">
      <c r="A49" s="66" t="inlineStr">
        <is>
          <t>Agency commissions</t>
        </is>
      </c>
      <c r="B49" s="67" t="inlineStr">
        <is>
          <t>https://arunatalent.com/blog/onlyfans-agency-commission-rates/</t>
        </is>
      </c>
    </row>
    <row r="50">
      <c r="A50" s="66" t="inlineStr">
        <is>
          <t>NBPA agent fee cap (amended Sept 2025)</t>
        </is>
      </c>
      <c r="B50" s="67" t="inlineStr">
        <is>
          <t>https://imgix.cosmicjs.com/cd844850-97c7-11f0-91fa-d9e1671c2776-NBPA-REGULATIONS-GOVERNING-PLAYER-AGENTS-09-2025.pdf</t>
        </is>
      </c>
    </row>
    <row r="51">
      <c r="A51" s="66" t="inlineStr">
        <is>
          <t>FIFA Football Agent Regulations art. 15</t>
        </is>
      </c>
      <c r="B51" s="67" t="inlineStr">
        <is>
          <t>https://digitalhub.fifa.com/m/1e7b741fa0fae779/original/FIFA-Football-Agent-Regulations.pdf</t>
        </is>
      </c>
    </row>
    <row r="52">
      <c r="A52" s="66" t="inlineStr">
        <is>
          <t>CJEU upholds the FIFA fee cap (16 Jul 2026)</t>
        </is>
      </c>
      <c r="B52" s="67" t="inlineStr">
        <is>
          <t>https://inside.fifa.com/news/welcomes-court-of-justice-european-union-decision-football-agent-regulations</t>
        </is>
      </c>
    </row>
    <row r="53">
      <c r="A53" s="66" t="inlineStr">
        <is>
          <t>Eurobarometer 525</t>
        </is>
      </c>
      <c r="B53" s="67" t="inlineStr">
        <is>
          <t>https://europa.eu/eurobarometer/surveys/detail/2668</t>
        </is>
      </c>
    </row>
    <row r="54">
      <c r="A54" s="66" t="inlineStr">
        <is>
          <t>FIP World Padel Report 2025</t>
        </is>
      </c>
      <c r="B54" s="67" t="inlineStr">
        <is>
          <t>https://www.padelfip.com/2025/12/online-the-fip-world-padel-report-2025-a-comprehensive-analysis-of-a-sport-in-constant-growth/</t>
        </is>
      </c>
    </row>
    <row r="55">
      <c r="A55" s="66" t="inlineStr">
        <is>
          <t>Stripe EU pricing</t>
        </is>
      </c>
      <c r="B55" s="67" t="inlineStr">
        <is>
          <t>https://stripe.com/es/pricing</t>
        </is>
      </c>
    </row>
    <row r="56">
      <c r="A56" s="66" t="inlineStr">
        <is>
          <t>TEKTA launch</t>
        </is>
      </c>
      <c r="B56" s="67" t="inlineStr">
        <is>
          <t>https://www.publicisgroupe.com/en/news/press-releases/publicis-sports-and-travis-kelce-s-tekta-join-forces-to-reimagine-the-future-of-nil-marketing</t>
        </is>
      </c>
    </row>
    <row r="57">
      <c r="A57" s="66" t="inlineStr">
        <is>
          <t>Stripe Connect age</t>
        </is>
      </c>
      <c r="B57" s="6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B46*(1-Comparables!B29)-B46/Assumptions!$C$48*Comparables!C29*B45-Comparables!D29*B45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Assumptions!$C$44</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Assumptions!$C$45</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Assumptions!$C$46</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Assumptions!$C$76</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Assumptions!$C$78</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Assumptions!$C$81</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Assumptions!$C$61</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Assumptions!$C$52</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Assumptions!$C$54</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Assumptions!$C$56</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Assumptions!$C$71</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Assumptions!$C$88</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Assumptions!$C$85</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Assumptions!$C$87</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Assumptions!$C$86</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202033.1983544927</v>
      </c>
      <c r="E5" s="22" t="n">
        <v>919083.1556542454</v>
      </c>
      <c r="F5" s="22" t="n">
        <v>3013000.380952647</v>
      </c>
      <c r="G5" s="22" t="n">
        <v>7568449.977255126</v>
      </c>
      <c r="H5" s="22" t="n">
        <v>14699877.40399329</v>
      </c>
      <c r="I5" s="22" t="n">
        <v>24131919.79247443</v>
      </c>
      <c r="J5" s="22" t="n">
        <v>34347336.42996982</v>
      </c>
      <c r="K5" s="22" t="n">
        <v>43325569.29647037</v>
      </c>
      <c r="L5" s="22" t="n">
        <v>52934813.4840198</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11305.80318411591</v>
      </c>
      <c r="D15" s="22" t="n">
        <v>121860.3346779258</v>
      </c>
      <c r="E15" s="22" t="n">
        <v>594128.8290205828</v>
      </c>
      <c r="F15" s="22" t="n">
        <v>2015271.251600505</v>
      </c>
      <c r="G15" s="22" t="n">
        <v>5162505.10450032</v>
      </c>
      <c r="H15" s="22" t="n">
        <v>10199614.38858763</v>
      </c>
      <c r="I15" s="22" t="n">
        <v>16906646.69543736</v>
      </c>
      <c r="J15" s="22" t="n">
        <v>24215927.51107008</v>
      </c>
      <c r="K15" s="22" t="n">
        <v>30617300.00208889</v>
      </c>
      <c r="L15" s="22" t="n">
        <v>37606837.11320563</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337225.8558683594</v>
      </c>
      <c r="E20" s="22" t="n">
        <v>978454.4924523397</v>
      </c>
      <c r="F20" s="22" t="n">
        <v>2262252.030476212</v>
      </c>
      <c r="G20" s="22" t="n">
        <v>4204491.99818041</v>
      </c>
      <c r="H20" s="22" t="n">
        <v>6448435.192319464</v>
      </c>
      <c r="I20" s="22" t="n">
        <v>9115633.583397955</v>
      </c>
      <c r="J20" s="22" t="n">
        <v>11187130.91439759</v>
      </c>
      <c r="K20" s="22" t="n">
        <v>12773408.04371763</v>
      </c>
      <c r="L20" s="22" t="n">
        <v>14019092.27872158</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-95056.35964910126</v>
      </c>
      <c r="D25" s="22" t="n">
        <v>-215365.5211904336</v>
      </c>
      <c r="E25" s="22" t="n">
        <v>-384325.6634317569</v>
      </c>
      <c r="F25" s="22" t="n">
        <v>-246980.7788757063</v>
      </c>
      <c r="G25" s="22" t="n">
        <v>958013.1063199099</v>
      </c>
      <c r="H25" s="22" t="n">
        <v>3751179.196268169</v>
      </c>
      <c r="I25" s="22" t="n">
        <v>7791013.11203941</v>
      </c>
      <c r="J25" s="22" t="n">
        <v>13028796.59667249</v>
      </c>
      <c r="K25" s="22" t="n">
        <v>17843891.95837126</v>
      </c>
      <c r="L25" s="22" t="n">
        <v>23587744.83448404</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1172259.189029952</v>
      </c>
      <c r="E40" s="22" t="n">
        <v>5479967.704361636</v>
      </c>
      <c r="F40" s="22" t="n">
        <v>19176831.20635098</v>
      </c>
      <c r="G40" s="22" t="n">
        <v>51031633.18170085</v>
      </c>
      <c r="H40" s="22" t="n">
        <v>102389216.0266219</v>
      </c>
      <c r="I40" s="22" t="n">
        <v>169754345.2831629</v>
      </c>
      <c r="J40" s="22" t="n">
        <v>242950202.8664655</v>
      </c>
      <c r="K40" s="22" t="n">
        <v>304703163.3098025</v>
      </c>
      <c r="L40" s="22" t="n">
        <v>376600783.2267987</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412074.5969161622</v>
      </c>
      <c r="I60" s="22" t="n">
        <v>1055671.966805911</v>
      </c>
      <c r="J60" s="22" t="n">
        <v>1798139.489500874</v>
      </c>
      <c r="K60" s="22" t="n">
        <v>2477203.793755689</v>
      </c>
      <c r="L60" s="22" t="n">
        <v>5500136.208621011</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-100756.3596491013</v>
      </c>
      <c r="D65" s="22" t="n">
        <v>-236665.5211904336</v>
      </c>
      <c r="E65" s="22" t="n">
        <v>-447625.6634317569</v>
      </c>
      <c r="F65" s="22" t="n">
        <v>-394180.7788757063</v>
      </c>
      <c r="G65" s="22" t="n">
        <v>668013.1063199099</v>
      </c>
      <c r="H65" s="22" t="n">
        <v>2846304.599352007</v>
      </c>
      <c r="I65" s="22" t="n">
        <v>5982141.145233498</v>
      </c>
      <c r="J65" s="22" t="n">
        <v>10189457.10717162</v>
      </c>
      <c r="K65" s="22" t="n">
        <v>14037488.16461557</v>
      </c>
      <c r="L65" s="22" t="n">
        <v>16500408.62586303</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-95861.09014160134</v>
      </c>
      <c r="D70" s="22" t="n">
        <v>-202132.7647337024</v>
      </c>
      <c r="E70" s="22" t="n">
        <v>-290864.6904706898</v>
      </c>
      <c r="F70" s="22" t="n">
        <v>98221.31647175329</v>
      </c>
      <c r="G70" s="22" t="n">
        <v>1795103.566001351</v>
      </c>
      <c r="H70" s="22" t="n">
        <v>4603152.529378005</v>
      </c>
      <c r="I70" s="22" t="n">
        <v>8274542.834928216</v>
      </c>
      <c r="J70" s="22" t="n">
        <v>12628711.76214951</v>
      </c>
      <c r="K70" s="22" t="n">
        <v>16107958.66413932</v>
      </c>
      <c r="L70" s="22" t="n">
        <v>18807931.6728318</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2026-09-07T12:26:46Z</dcterms:created>
  <dcterms:modified xsi:type="dcterms:W3CDTF">2026-09-07T12:26:46Z</dcterms:modified>
</cp:coreProperties>
</file>