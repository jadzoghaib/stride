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ADMISSION — the gate between an applicant and an athlete</t>
        </is>
      </c>
      <c r="B71" s="12" t="n"/>
      <c r="C71" s="12" t="n"/>
      <c r="D71" s="12" t="n"/>
      <c r="E71" s="12" t="n"/>
      <c r="F71" s="12" t="n"/>
      <c r="G71" s="12" t="n"/>
      <c r="H71" s="12" t="n"/>
      <c r="I71" s="12" t="n"/>
      <c r="J71" s="12" t="n"/>
      <c r="K71" s="12" t="n"/>
      <c r="L71" s="12" t="n"/>
    </row>
    <row r="72">
      <c r="A72" s="13" t="inlineStr">
        <is>
          <t>Admission rate — direct applicants</t>
        </is>
      </c>
      <c r="B72" s="14" t="inlineStr">
        <is>
          <t>% admitted</t>
        </is>
      </c>
      <c r="C72" s="16" t="n">
        <v>0.2</v>
      </c>
      <c r="D72" s="21">
        <f>C72</f>
        <v/>
      </c>
      <c r="E72" s="21">
        <f>C72</f>
        <v/>
      </c>
      <c r="F72" s="21">
        <f>C72</f>
        <v/>
      </c>
      <c r="G72" s="21">
        <f>C72</f>
        <v/>
      </c>
      <c r="H72" s="21">
        <f>C72</f>
        <v/>
      </c>
      <c r="I72" s="21">
        <f>C72</f>
        <v/>
      </c>
      <c r="J72" s="21">
        <f>C72</f>
        <v/>
      </c>
      <c r="K72" s="21">
        <f>C72</f>
        <v/>
      </c>
      <c r="L72" s="21">
        <f>C72</f>
        <v/>
      </c>
      <c r="N72" s="17" t="inlineStr">
        <is>
          <t>ops-load output of scripts/admission_stress.py</t>
        </is>
      </c>
    </row>
    <row r="73">
      <c r="A73" s="13" t="inlineStr">
        <is>
          <t>Review rate — direct applicants</t>
        </is>
      </c>
      <c r="B73" s="14" t="inlineStr">
        <is>
          <t>% needing a human</t>
        </is>
      </c>
      <c r="C73" s="16" t="n">
        <v>0.25</v>
      </c>
      <c r="D73" s="21">
        <f>C73</f>
        <v/>
      </c>
      <c r="E73" s="21">
        <f>C73</f>
        <v/>
      </c>
      <c r="F73" s="21">
        <f>C73</f>
        <v/>
      </c>
      <c r="G73" s="21">
        <f>C73</f>
        <v/>
      </c>
      <c r="H73" s="21">
        <f>C73</f>
        <v/>
      </c>
      <c r="I73" s="21">
        <f>C73</f>
        <v/>
      </c>
      <c r="J73" s="21">
        <f>C73</f>
        <v/>
      </c>
      <c r="K73" s="21">
        <f>C73</f>
        <v/>
      </c>
      <c r="L73" s="21">
        <f>C73</f>
        <v/>
      </c>
      <c r="N73" s="17" t="inlineStr">
        <is>
          <t>ops-load output of scripts/admission_stress.py</t>
        </is>
      </c>
    </row>
    <row r="74">
      <c r="A74" s="13" t="inlineStr">
        <is>
          <t>Admission rate — club-nominated</t>
        </is>
      </c>
      <c r="B74" s="14" t="inlineStr">
        <is>
          <t>% admitted</t>
        </is>
      </c>
      <c r="C74" s="16" t="n">
        <v>0.45</v>
      </c>
      <c r="D74" s="21">
        <f>C74</f>
        <v/>
      </c>
      <c r="E74" s="21">
        <f>C74</f>
        <v/>
      </c>
      <c r="F74" s="21">
        <f>C74</f>
        <v/>
      </c>
      <c r="G74" s="21">
        <f>C74</f>
        <v/>
      </c>
      <c r="H74" s="21">
        <f>C74</f>
        <v/>
      </c>
      <c r="I74" s="21">
        <f>C74</f>
        <v/>
      </c>
      <c r="J74" s="21">
        <f>C74</f>
        <v/>
      </c>
      <c r="K74" s="21">
        <f>C74</f>
        <v/>
      </c>
      <c r="L74" s="21">
        <f>C74</f>
        <v/>
      </c>
      <c r="N74" s="22" t="inlineStr">
        <is>
          <t>ESTIMATE — a verified club's floor carries more of them past the bar</t>
        </is>
      </c>
    </row>
    <row r="75">
      <c r="A75" s="13" t="inlineStr">
        <is>
          <t>Review rate — club-nominated</t>
        </is>
      </c>
      <c r="B75" s="14" t="inlineStr">
        <is>
          <t>% needing a human</t>
        </is>
      </c>
      <c r="C75" s="16" t="n">
        <v>0.18</v>
      </c>
      <c r="D75" s="21">
        <f>C75</f>
        <v/>
      </c>
      <c r="E75" s="21">
        <f>C75</f>
        <v/>
      </c>
      <c r="F75" s="21">
        <f>C75</f>
        <v/>
      </c>
      <c r="G75" s="21">
        <f>C75</f>
        <v/>
      </c>
      <c r="H75" s="21">
        <f>C75</f>
        <v/>
      </c>
      <c r="I75" s="21">
        <f>C75</f>
        <v/>
      </c>
      <c r="J75" s="21">
        <f>C75</f>
        <v/>
      </c>
      <c r="K75" s="21">
        <f>C75</f>
        <v/>
      </c>
      <c r="L75" s="21">
        <f>C75</f>
        <v/>
      </c>
      <c r="N75" s="22" t="inlineStr">
        <is>
          <t>ESTIMATE</t>
        </is>
      </c>
    </row>
    <row r="76">
      <c r="A76" s="13" t="inlineStr">
        <is>
          <t>Applicants arriving via a club</t>
        </is>
      </c>
      <c r="B76" s="14" t="inlineStr">
        <is>
          <t>% of applicants</t>
        </is>
      </c>
      <c r="C76" s="16" t="n">
        <v>0</v>
      </c>
      <c r="D76" s="16" t="n">
        <v>0.1</v>
      </c>
      <c r="E76" s="16" t="n">
        <v>0.2</v>
      </c>
      <c r="F76" s="16" t="n">
        <v>0.28</v>
      </c>
      <c r="G76" s="16" t="n">
        <v>0.34</v>
      </c>
      <c r="H76" s="16" t="n">
        <v>0.38</v>
      </c>
      <c r="I76" s="16" t="n">
        <v>0.42</v>
      </c>
      <c r="J76" s="16" t="n">
        <v>0.44</v>
      </c>
      <c r="K76" s="16" t="n">
        <v>0.46</v>
      </c>
      <c r="L76" s="16" t="n">
        <v>0.47</v>
      </c>
      <c r="N76" s="22" t="inlineStr">
        <is>
          <t>Grows as federation and club partnerships land</t>
        </is>
      </c>
    </row>
    <row r="77">
      <c r="A77" s="13" t="inlineStr">
        <is>
          <t>Minutes per manual review</t>
        </is>
      </c>
      <c r="B77" s="14" t="inlineStr">
        <is>
          <t>min</t>
        </is>
      </c>
      <c r="C77" s="19" t="n">
        <v>4</v>
      </c>
      <c r="D77" s="30">
        <f>C77</f>
        <v/>
      </c>
      <c r="E77" s="30">
        <f>C77</f>
        <v/>
      </c>
      <c r="F77" s="30">
        <f>C77</f>
        <v/>
      </c>
      <c r="G77" s="30">
        <f>C77</f>
        <v/>
      </c>
      <c r="H77" s="30">
        <f>C77</f>
        <v/>
      </c>
      <c r="I77" s="30">
        <f>C77</f>
        <v/>
      </c>
      <c r="J77" s="30">
        <f>C77</f>
        <v/>
      </c>
      <c r="K77" s="30">
        <f>C77</f>
        <v/>
      </c>
      <c r="L77" s="30">
        <f>C77</f>
        <v/>
      </c>
      <c r="N77" s="22" t="inlineStr">
        <is>
          <t>Open the link, decide whether it names the applicant</t>
        </is>
      </c>
    </row>
    <row r="78">
      <c r="A78" s="13" t="inlineStr">
        <is>
          <t>Productive hours per reviewer-year</t>
        </is>
      </c>
      <c r="B78" s="14" t="inlineStr">
        <is>
          <t>h</t>
        </is>
      </c>
      <c r="C78" s="15" t="n">
        <v>1700</v>
      </c>
      <c r="D78" s="33">
        <f>C78</f>
        <v/>
      </c>
      <c r="E78" s="33">
        <f>C78</f>
        <v/>
      </c>
      <c r="F78" s="33">
        <f>C78</f>
        <v/>
      </c>
      <c r="G78" s="33">
        <f>C78</f>
        <v/>
      </c>
      <c r="H78" s="33">
        <f>C78</f>
        <v/>
      </c>
      <c r="I78" s="33">
        <f>C78</f>
        <v/>
      </c>
      <c r="J78" s="33">
        <f>C78</f>
        <v/>
      </c>
      <c r="K78" s="33">
        <f>C78</f>
        <v/>
      </c>
      <c r="L78" s="33">
        <f>C78</f>
        <v/>
      </c>
      <c r="N78" s="22" t="inlineStr">
        <is>
          <t>Prices review time off the same loaded salary line</t>
        </is>
      </c>
    </row>
    <row r="80">
      <c r="A80" s="11" t="inlineStr">
        <is>
          <t>VALUATION</t>
        </is>
      </c>
      <c r="B80" s="12" t="n"/>
      <c r="C80" s="12" t="n"/>
      <c r="D80" s="12" t="n"/>
      <c r="E80" s="12" t="n"/>
      <c r="F80" s="12" t="n"/>
      <c r="G80" s="12" t="n"/>
      <c r="H80" s="12" t="n"/>
      <c r="I80" s="12" t="n"/>
      <c r="J80" s="12" t="n"/>
      <c r="K80" s="12" t="n"/>
      <c r="L80" s="12" t="n"/>
    </row>
    <row r="81">
      <c r="A81" s="13" t="inlineStr">
        <is>
          <t>WACC / discount rate</t>
        </is>
      </c>
      <c r="B81" s="14" t="inlineStr">
        <is>
          <t>%</t>
        </is>
      </c>
      <c r="C81" s="16" t="n">
        <v>0.25</v>
      </c>
      <c r="D81" s="21">
        <f>C81</f>
        <v/>
      </c>
      <c r="E81" s="21">
        <f>C81</f>
        <v/>
      </c>
      <c r="F81" s="21">
        <f>C81</f>
        <v/>
      </c>
      <c r="G81" s="21">
        <f>C81</f>
        <v/>
      </c>
      <c r="H81" s="21">
        <f>C81</f>
        <v/>
      </c>
      <c r="I81" s="21">
        <f>C81</f>
        <v/>
      </c>
      <c r="J81" s="21">
        <f>C81</f>
        <v/>
      </c>
      <c r="K81" s="21">
        <f>C81</f>
        <v/>
      </c>
      <c r="L81" s="21">
        <f>C81</f>
        <v/>
      </c>
      <c r="N81" s="22" t="inlineStr">
        <is>
          <t>Early-stage venture hurdle</t>
        </is>
      </c>
    </row>
    <row r="82">
      <c r="A82" s="13" t="inlineStr">
        <is>
          <t>Terminal growth</t>
        </is>
      </c>
      <c r="B82" s="14" t="inlineStr">
        <is>
          <t>%</t>
        </is>
      </c>
      <c r="C82" s="16" t="n">
        <v>0.03</v>
      </c>
      <c r="D82" s="21">
        <f>C82</f>
        <v/>
      </c>
      <c r="E82" s="21">
        <f>C82</f>
        <v/>
      </c>
      <c r="F82" s="21">
        <f>C82</f>
        <v/>
      </c>
      <c r="G82" s="21">
        <f>C82</f>
        <v/>
      </c>
      <c r="H82" s="21">
        <f>C82</f>
        <v/>
      </c>
      <c r="I82" s="21">
        <f>C82</f>
        <v/>
      </c>
      <c r="J82" s="21">
        <f>C82</f>
        <v/>
      </c>
      <c r="K82" s="21">
        <f>C82</f>
        <v/>
      </c>
      <c r="L82" s="21">
        <f>C82</f>
        <v/>
      </c>
    </row>
    <row r="83">
      <c r="A83" s="13" t="inlineStr">
        <is>
          <t>Exit revenue multiple</t>
        </is>
      </c>
      <c r="B83" s="14" t="inlineStr">
        <is>
          <t>x</t>
        </is>
      </c>
      <c r="C83" s="19" t="n">
        <v>6.5</v>
      </c>
      <c r="D83" s="30">
        <f>C83</f>
        <v/>
      </c>
      <c r="E83" s="30">
        <f>C83</f>
        <v/>
      </c>
      <c r="F83" s="30">
        <f>C83</f>
        <v/>
      </c>
      <c r="G83" s="30">
        <f>C83</f>
        <v/>
      </c>
      <c r="H83" s="30">
        <f>C83</f>
        <v/>
      </c>
      <c r="I83" s="30">
        <f>C83</f>
        <v/>
      </c>
      <c r="J83" s="30">
        <f>C83</f>
        <v/>
      </c>
      <c r="K83" s="30">
        <f>C83</f>
        <v/>
      </c>
      <c r="L83" s="30">
        <f>C83</f>
        <v/>
      </c>
      <c r="N83" s="22" t="inlineStr">
        <is>
          <t>Blended marketplace + SaaS comparables</t>
        </is>
      </c>
    </row>
    <row r="84">
      <c r="A84" s="13" t="inlineStr">
        <is>
          <t>Risk-free rate (Spanish 10Y)</t>
        </is>
      </c>
      <c r="B84" s="14" t="inlineStr">
        <is>
          <t>%</t>
        </is>
      </c>
      <c r="C84" s="36" t="n">
        <v>0.032</v>
      </c>
      <c r="D84" s="21">
        <f>C84</f>
        <v/>
      </c>
      <c r="E84" s="21">
        <f>C84</f>
        <v/>
      </c>
      <c r="F84" s="21">
        <f>C84</f>
        <v/>
      </c>
      <c r="G84" s="21">
        <f>C84</f>
        <v/>
      </c>
      <c r="H84" s="21">
        <f>C84</f>
        <v/>
      </c>
      <c r="I84" s="21">
        <f>C84</f>
        <v/>
      </c>
      <c r="J84" s="21">
        <f>C84</f>
        <v/>
      </c>
      <c r="K84" s="21">
        <f>C84</f>
        <v/>
      </c>
      <c r="L84" s="21">
        <f>C84</f>
        <v/>
      </c>
      <c r="N84" s="22" t="inlineStr">
        <is>
          <t>Spanish 10Y government bond, mid-2026</t>
        </is>
      </c>
    </row>
    <row r="85">
      <c r="A85" s="13" t="inlineStr">
        <is>
          <t>Founder alternative return</t>
        </is>
      </c>
      <c r="B85" s="14" t="inlineStr">
        <is>
          <t>%</t>
        </is>
      </c>
      <c r="C85" s="16" t="n">
        <v>0.07000000000000001</v>
      </c>
      <c r="D85" s="21">
        <f>C85</f>
        <v/>
      </c>
      <c r="E85" s="21">
        <f>C85</f>
        <v/>
      </c>
      <c r="F85" s="21">
        <f>C85</f>
        <v/>
      </c>
      <c r="G85" s="21">
        <f>C85</f>
        <v/>
      </c>
      <c r="H85" s="21">
        <f>C85</f>
        <v/>
      </c>
      <c r="I85" s="21">
        <f>C85</f>
        <v/>
      </c>
      <c r="J85" s="21">
        <f>C85</f>
        <v/>
      </c>
      <c r="K85" s="21">
        <f>C85</f>
        <v/>
      </c>
      <c r="L85" s="21">
        <f>C85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row r="48">
      <c r="A48" s="11" t="inlineStr">
        <is>
          <t>ADMISSION FUNNEL</t>
        </is>
      </c>
      <c r="B48" s="12" t="n"/>
      <c r="C48" s="12" t="n"/>
      <c r="D48" s="12" t="n"/>
      <c r="E48" s="12" t="n"/>
      <c r="F48" s="12" t="n"/>
      <c r="G48" s="12" t="n"/>
      <c r="H48" s="12" t="n"/>
      <c r="I48" s="12" t="n"/>
      <c r="J48" s="12" t="n"/>
      <c r="K48" s="12" t="n"/>
      <c r="L48" s="12" t="n"/>
    </row>
    <row r="49">
      <c r="A49" s="13" t="inlineStr">
        <is>
          <t>Blended admission rate</t>
        </is>
      </c>
      <c r="B49" s="14" t="inlineStr">
        <is>
          <t>weighted by channel</t>
        </is>
      </c>
      <c r="C49" s="21">
        <f>Assumptions!C76*Assumptions!C74+(1-Assumptions!C76)*Assumptions!C72</f>
        <v/>
      </c>
      <c r="D49" s="21">
        <f>Assumptions!D76*Assumptions!D74+(1-Assumptions!D76)*Assumptions!D72</f>
        <v/>
      </c>
      <c r="E49" s="21">
        <f>Assumptions!E76*Assumptions!E74+(1-Assumptions!E76)*Assumptions!E72</f>
        <v/>
      </c>
      <c r="F49" s="21">
        <f>Assumptions!F76*Assumptions!F74+(1-Assumptions!F76)*Assumptions!F72</f>
        <v/>
      </c>
      <c r="G49" s="21">
        <f>Assumptions!G76*Assumptions!G74+(1-Assumptions!G76)*Assumptions!G72</f>
        <v/>
      </c>
      <c r="H49" s="21">
        <f>Assumptions!H76*Assumptions!H74+(1-Assumptions!H76)*Assumptions!H72</f>
        <v/>
      </c>
      <c r="I49" s="21">
        <f>Assumptions!I76*Assumptions!I74+(1-Assumptions!I76)*Assumptions!I72</f>
        <v/>
      </c>
      <c r="J49" s="21">
        <f>Assumptions!J76*Assumptions!J74+(1-Assumptions!J76)*Assumptions!J72</f>
        <v/>
      </c>
      <c r="K49" s="21">
        <f>Assumptions!K76*Assumptions!K74+(1-Assumptions!K76)*Assumptions!K72</f>
        <v/>
      </c>
      <c r="L49" s="21">
        <f>Assumptions!L76*Assumptions!L74+(1-Assumptions!L76)*Assumptions!L72</f>
        <v/>
      </c>
    </row>
    <row r="50">
      <c r="A50" s="13" t="inlineStr">
        <is>
          <t>Blended review rate</t>
        </is>
      </c>
      <c r="B50" s="14" t="inlineStr">
        <is>
          <t>weighted by channel</t>
        </is>
      </c>
      <c r="C50" s="21">
        <f>Assumptions!C76*Assumptions!C75+(1-Assumptions!C76)*Assumptions!C73</f>
        <v/>
      </c>
      <c r="D50" s="21">
        <f>Assumptions!D76*Assumptions!D75+(1-Assumptions!D76)*Assumptions!D73</f>
        <v/>
      </c>
      <c r="E50" s="21">
        <f>Assumptions!E76*Assumptions!E75+(1-Assumptions!E76)*Assumptions!E73</f>
        <v/>
      </c>
      <c r="F50" s="21">
        <f>Assumptions!F76*Assumptions!F75+(1-Assumptions!F76)*Assumptions!F73</f>
        <v/>
      </c>
      <c r="G50" s="21">
        <f>Assumptions!G76*Assumptions!G75+(1-Assumptions!G76)*Assumptions!G73</f>
        <v/>
      </c>
      <c r="H50" s="21">
        <f>Assumptions!H76*Assumptions!H75+(1-Assumptions!H76)*Assumptions!H73</f>
        <v/>
      </c>
      <c r="I50" s="21">
        <f>Assumptions!I76*Assumptions!I75+(1-Assumptions!I76)*Assumptions!I73</f>
        <v/>
      </c>
      <c r="J50" s="21">
        <f>Assumptions!J76*Assumptions!J75+(1-Assumptions!J76)*Assumptions!J73</f>
        <v/>
      </c>
      <c r="K50" s="21">
        <f>Assumptions!K76*Assumptions!K75+(1-Assumptions!K76)*Assumptions!K73</f>
        <v/>
      </c>
      <c r="L50" s="21">
        <f>Assumptions!L76*Assumptions!L75+(1-Assumptions!L76)*Assumptions!L73</f>
        <v/>
      </c>
    </row>
    <row r="51">
      <c r="A51" s="13" t="inlineStr">
        <is>
          <t>Applications required</t>
        </is>
      </c>
      <c r="B51" s="14" t="inlineStr">
        <is>
          <t>gross adds / admission rate</t>
        </is>
      </c>
      <c r="C51" s="38">
        <f>C38/C49</f>
        <v/>
      </c>
      <c r="D51" s="38">
        <f>D38/D49</f>
        <v/>
      </c>
      <c r="E51" s="38">
        <f>E38/E49</f>
        <v/>
      </c>
      <c r="F51" s="38">
        <f>F38/F49</f>
        <v/>
      </c>
      <c r="G51" s="38">
        <f>G38/G49</f>
        <v/>
      </c>
      <c r="H51" s="38">
        <f>H38/H49</f>
        <v/>
      </c>
      <c r="I51" s="38">
        <f>I38/I49</f>
        <v/>
      </c>
      <c r="J51" s="38">
        <f>J38/J49</f>
        <v/>
      </c>
      <c r="K51" s="38">
        <f>K38/K49</f>
        <v/>
      </c>
      <c r="L51" s="38">
        <f>L38/L49</f>
        <v/>
      </c>
    </row>
    <row r="52">
      <c r="A52" s="13" t="inlineStr">
        <is>
          <t>Manual reviews</t>
        </is>
      </c>
      <c r="B52" s="14" t="inlineStr">
        <is>
          <t>applications x review rate</t>
        </is>
      </c>
      <c r="C52" s="38">
        <f>C51*C50</f>
        <v/>
      </c>
      <c r="D52" s="38">
        <f>D51*D50</f>
        <v/>
      </c>
      <c r="E52" s="38">
        <f>E51*E50</f>
        <v/>
      </c>
      <c r="F52" s="38">
        <f>F51*F50</f>
        <v/>
      </c>
      <c r="G52" s="38">
        <f>G51*G50</f>
        <v/>
      </c>
      <c r="H52" s="38">
        <f>H51*H50</f>
        <v/>
      </c>
      <c r="I52" s="38">
        <f>I51*I50</f>
        <v/>
      </c>
      <c r="J52" s="38">
        <f>J51*J50</f>
        <v/>
      </c>
      <c r="K52" s="38">
        <f>K51*K50</f>
        <v/>
      </c>
      <c r="L52" s="38">
        <f>L51*L50</f>
        <v/>
      </c>
    </row>
    <row r="53">
      <c r="A53" s="13" t="inlineStr">
        <is>
          <t>Reviewer FTE implied</t>
        </is>
      </c>
      <c r="B53" s="14" t="inlineStr">
        <is>
          <t>the real constraint, not the euros</t>
        </is>
      </c>
      <c r="C53" s="24">
        <f>C52*Assumptions!C77/60/Assumptions!C78</f>
        <v/>
      </c>
      <c r="D53" s="24">
        <f>D52*Assumptions!D77/60/Assumptions!D78</f>
        <v/>
      </c>
      <c r="E53" s="24">
        <f>E52*Assumptions!E77/60/Assumptions!E78</f>
        <v/>
      </c>
      <c r="F53" s="24">
        <f>F52*Assumptions!F77/60/Assumptions!F78</f>
        <v/>
      </c>
      <c r="G53" s="24">
        <f>G52*Assumptions!G77/60/Assumptions!G78</f>
        <v/>
      </c>
      <c r="H53" s="24">
        <f>H52*Assumptions!H77/60/Assumptions!H78</f>
        <v/>
      </c>
      <c r="I53" s="24">
        <f>I52*Assumptions!I77/60/Assumptions!I78</f>
        <v/>
      </c>
      <c r="J53" s="24">
        <f>J52*Assumptions!J77/60/Assumptions!J78</f>
        <v/>
      </c>
      <c r="K53" s="24">
        <f>K52*Assumptions!K77/60/Assumptions!K78</f>
        <v/>
      </c>
      <c r="L53" s="24">
        <f>L52*Assumptions!L77/60/Assumptions!L78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13" t="inlineStr">
        <is>
          <t>Athlete verification</t>
        </is>
      </c>
      <c r="B13" s="14" t="inlineStr">
        <is>
          <t>reviews x minutes x hourly</t>
        </is>
      </c>
      <c r="C13" s="29">
        <f>Drivers!C52*Assumptions!C77/60*(Assumptions!C57/Assumptions!C78)</f>
        <v/>
      </c>
      <c r="D13" s="29">
        <f>Drivers!D52*Assumptions!D77/60*(Assumptions!D57/Assumptions!D78)</f>
        <v/>
      </c>
      <c r="E13" s="29">
        <f>Drivers!E52*Assumptions!E77/60*(Assumptions!E57/Assumptions!E78)</f>
        <v/>
      </c>
      <c r="F13" s="29">
        <f>Drivers!F52*Assumptions!F77/60*(Assumptions!F57/Assumptions!F78)</f>
        <v/>
      </c>
      <c r="G13" s="29">
        <f>Drivers!G52*Assumptions!G77/60*(Assumptions!G57/Assumptions!G78)</f>
        <v/>
      </c>
      <c r="H13" s="29">
        <f>Drivers!H52*Assumptions!H77/60*(Assumptions!H57/Assumptions!H78)</f>
        <v/>
      </c>
      <c r="I13" s="29">
        <f>Drivers!I52*Assumptions!I77/60*(Assumptions!I57/Assumptions!I78)</f>
        <v/>
      </c>
      <c r="J13" s="29">
        <f>Drivers!J52*Assumptions!J77/60*(Assumptions!J57/Assumptions!J78)</f>
        <v/>
      </c>
      <c r="K13" s="29">
        <f>Drivers!K52*Assumptions!K77/60*(Assumptions!K57/Assumptions!K78)</f>
        <v/>
      </c>
      <c r="L13" s="29">
        <f>Drivers!L52*Assumptions!L77/60*(Assumptions!L57/Assumptions!L78)</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29">
        <f>Assumptions!C56*Assumptions!C57</f>
        <v/>
      </c>
      <c r="D17" s="29">
        <f>Assumptions!D56*Assumptions!D57</f>
        <v/>
      </c>
      <c r="E17" s="29">
        <f>Assumptions!E56*Assumptions!E57</f>
        <v/>
      </c>
      <c r="F17" s="29">
        <f>Assumptions!F56*Assumptions!F57</f>
        <v/>
      </c>
      <c r="G17" s="29">
        <f>Assumptions!G56*Assumptions!G57</f>
        <v/>
      </c>
      <c r="H17" s="29">
        <f>Assumptions!H56*Assumptions!H57</f>
        <v/>
      </c>
      <c r="I17" s="29">
        <f>Assumptions!I56*Assumptions!I57</f>
        <v/>
      </c>
      <c r="J17" s="29">
        <f>Assumptions!J56*Assumptions!J57</f>
        <v/>
      </c>
      <c r="K17" s="29">
        <f>Assumptions!K56*Assumptions!K57</f>
        <v/>
      </c>
      <c r="L17" s="29">
        <f>Assumptions!L56*Assumptions!L57</f>
        <v/>
      </c>
    </row>
    <row r="18">
      <c r="A18" s="13" t="inlineStr">
        <is>
          <t>Athlete acquisition — niche</t>
        </is>
      </c>
      <c r="B18" s="14" t="inlineStr">
        <is>
          <t>gross adds x CAC</t>
        </is>
      </c>
      <c r="C18" s="29">
        <f>Drivers!C11*Assumptions!C17</f>
        <v/>
      </c>
      <c r="D18" s="29">
        <f>Drivers!D11*Assumptions!D17</f>
        <v/>
      </c>
      <c r="E18" s="29">
        <f>Drivers!E11*Assumptions!E17</f>
        <v/>
      </c>
      <c r="F18" s="29">
        <f>Drivers!F11*Assumptions!F17</f>
        <v/>
      </c>
      <c r="G18" s="29">
        <f>Drivers!G11*Assumptions!G17</f>
        <v/>
      </c>
      <c r="H18" s="29">
        <f>Drivers!H11*Assumptions!H17</f>
        <v/>
      </c>
      <c r="I18" s="29">
        <f>Drivers!I11*Assumptions!I17</f>
        <v/>
      </c>
      <c r="J18" s="29">
        <f>Drivers!J11*Assumptions!J17</f>
        <v/>
      </c>
      <c r="K18" s="29">
        <f>Drivers!K11*Assumptions!K17</f>
        <v/>
      </c>
      <c r="L18" s="29">
        <f>Drivers!L11*Assumptions!L17</f>
        <v/>
      </c>
    </row>
    <row r="19">
      <c r="A19" s="13" t="inlineStr">
        <is>
          <t>Athlete acquisition — popular</t>
        </is>
      </c>
      <c r="B19" s="14" t="inlineStr"/>
      <c r="C19" s="29">
        <f>Drivers!C24*Assumptions!C28</f>
        <v/>
      </c>
      <c r="D19" s="29">
        <f>Drivers!D24*Assumptions!D28</f>
        <v/>
      </c>
      <c r="E19" s="29">
        <f>Drivers!E24*Assumptions!E28</f>
        <v/>
      </c>
      <c r="F19" s="29">
        <f>Drivers!F24*Assumptions!F28</f>
        <v/>
      </c>
      <c r="G19" s="29">
        <f>Drivers!G24*Assumptions!G28</f>
        <v/>
      </c>
      <c r="H19" s="29">
        <f>Drivers!H24*Assumptions!H28</f>
        <v/>
      </c>
      <c r="I19" s="29">
        <f>Drivers!I24*Assumptions!I28</f>
        <v/>
      </c>
      <c r="J19" s="29">
        <f>Drivers!J24*Assumptions!J28</f>
        <v/>
      </c>
      <c r="K19" s="29">
        <f>Drivers!K24*Assumptions!K28</f>
        <v/>
      </c>
      <c r="L19" s="29">
        <f>Drivers!L24*Assumptions!L28</f>
        <v/>
      </c>
    </row>
    <row r="20">
      <c r="A20" s="13" t="inlineStr">
        <is>
          <t>Sponsor acquisition</t>
        </is>
      </c>
      <c r="B20" s="14" t="inlineStr"/>
      <c r="C20" s="29">
        <f>Drivers!C46*Assumptions!C34</f>
        <v/>
      </c>
      <c r="D20" s="29">
        <f>Drivers!D46*Assumptions!D34</f>
        <v/>
      </c>
      <c r="E20" s="29">
        <f>Drivers!E46*Assumptions!E34</f>
        <v/>
      </c>
      <c r="F20" s="29">
        <f>Drivers!F46*Assumptions!F34</f>
        <v/>
      </c>
      <c r="G20" s="29">
        <f>Drivers!G46*Assumptions!G34</f>
        <v/>
      </c>
      <c r="H20" s="29">
        <f>Drivers!H46*Assumptions!H34</f>
        <v/>
      </c>
      <c r="I20" s="29">
        <f>Drivers!I46*Assumptions!I34</f>
        <v/>
      </c>
      <c r="J20" s="29">
        <f>Drivers!J46*Assumptions!J34</f>
        <v/>
      </c>
      <c r="K20" s="29">
        <f>Drivers!K46*Assumptions!K34</f>
        <v/>
      </c>
      <c r="L20" s="29">
        <f>Drivers!L46*Assumptions!L34</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8">
        <f>(C18+C19)/Drivers!C51</f>
        <v/>
      </c>
      <c r="D22" s="28">
        <f>(D18+D19)/Drivers!D51</f>
        <v/>
      </c>
      <c r="E22" s="28">
        <f>(E18+E19)/Drivers!E51</f>
        <v/>
      </c>
      <c r="F22" s="28">
        <f>(F18+F19)/Drivers!F51</f>
        <v/>
      </c>
      <c r="G22" s="28">
        <f>(G18+G19)/Drivers!G51</f>
        <v/>
      </c>
      <c r="H22" s="28">
        <f>(H18+H19)/Drivers!H51</f>
        <v/>
      </c>
      <c r="I22" s="28">
        <f>(I18+I19)/Drivers!I51</f>
        <v/>
      </c>
      <c r="J22" s="28">
        <f>(J18+J19)/Drivers!J51</f>
        <v/>
      </c>
      <c r="K22" s="28">
        <f>(K18+K19)/Drivers!K51</f>
        <v/>
      </c>
      <c r="L22" s="28">
        <f>(L18+L19)/Drivers!L51</f>
        <v/>
      </c>
    </row>
    <row r="23">
      <c r="A23" s="13" t="inlineStr">
        <is>
          <t>Legal &amp; compliance</t>
        </is>
      </c>
      <c r="B23" s="14" t="inlineStr"/>
      <c r="C23" s="29">
        <f>Assumptions!C58</f>
        <v/>
      </c>
      <c r="D23" s="29">
        <f>Assumptions!D58</f>
        <v/>
      </c>
      <c r="E23" s="29">
        <f>Assumptions!E58</f>
        <v/>
      </c>
      <c r="F23" s="29">
        <f>Assumptions!F58</f>
        <v/>
      </c>
      <c r="G23" s="29">
        <f>Assumptions!G58</f>
        <v/>
      </c>
      <c r="H23" s="29">
        <f>Assumptions!H58</f>
        <v/>
      </c>
      <c r="I23" s="29">
        <f>Assumptions!I58</f>
        <v/>
      </c>
      <c r="J23" s="29">
        <f>Assumptions!J58</f>
        <v/>
      </c>
      <c r="K23" s="29">
        <f>Assumptions!K58</f>
        <v/>
      </c>
      <c r="L23" s="29">
        <f>Assumptions!L58</f>
        <v/>
      </c>
    </row>
    <row r="24">
      <c r="A24" s="13" t="inlineStr">
        <is>
          <t>Other opex</t>
        </is>
      </c>
      <c r="B24" s="14" t="inlineStr">
        <is>
          <t>% of revenue</t>
        </is>
      </c>
      <c r="C24" s="29">
        <f>Revenue!C21*Assumptions!C59</f>
        <v/>
      </c>
      <c r="D24" s="29">
        <f>Revenue!D21*Assumptions!D59</f>
        <v/>
      </c>
      <c r="E24" s="29">
        <f>Revenue!E21*Assumptions!E59</f>
        <v/>
      </c>
      <c r="F24" s="29">
        <f>Revenue!F21*Assumptions!F59</f>
        <v/>
      </c>
      <c r="G24" s="29">
        <f>Revenue!G21*Assumptions!G59</f>
        <v/>
      </c>
      <c r="H24" s="29">
        <f>Revenue!H21*Assumptions!H59</f>
        <v/>
      </c>
      <c r="I24" s="29">
        <f>Revenue!I21*Assumptions!I59</f>
        <v/>
      </c>
      <c r="J24" s="29">
        <f>Revenue!J21*Assumptions!J59</f>
        <v/>
      </c>
      <c r="K24" s="29">
        <f>Revenue!K21*Assumptions!K59</f>
        <v/>
      </c>
      <c r="L24" s="29">
        <f>Revenue!L21*Assumptions!L59</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Costs!C25*Assumptions!C64/365</f>
        <v/>
      </c>
      <c r="D7" s="29">
        <f>Costs!D25*Assumptions!D64/365</f>
        <v/>
      </c>
      <c r="E7" s="29">
        <f>Costs!E25*Assumptions!E64/365</f>
        <v/>
      </c>
      <c r="F7" s="29">
        <f>Costs!F25*Assumptions!F64/365</f>
        <v/>
      </c>
      <c r="G7" s="29">
        <f>Costs!G25*Assumptions!G64/365</f>
        <v/>
      </c>
      <c r="H7" s="29">
        <f>Costs!H25*Assumptions!H64/365</f>
        <v/>
      </c>
      <c r="I7" s="29">
        <f>Costs!I25*Assumptions!I64/365</f>
        <v/>
      </c>
      <c r="J7" s="29">
        <f>Costs!J25*Assumptions!J64/365</f>
        <v/>
      </c>
      <c r="K7" s="29">
        <f>Costs!K25*Assumptions!K64/365</f>
        <v/>
      </c>
      <c r="L7" s="29">
        <f>Costs!L25*Assumptions!L64/365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Costs!C17*Assumptions!C65</f>
        <v/>
      </c>
      <c r="D12" s="29">
        <f>Costs!D17*Assumptions!D65</f>
        <v/>
      </c>
      <c r="E12" s="29">
        <f>Costs!E17*Assumptions!E65</f>
        <v/>
      </c>
      <c r="F12" s="29">
        <f>Costs!F17*Assumptions!F65</f>
        <v/>
      </c>
      <c r="G12" s="29">
        <f>Costs!G17*Assumptions!G65</f>
        <v/>
      </c>
      <c r="H12" s="29">
        <f>Costs!H17*Assumptions!H65</f>
        <v/>
      </c>
      <c r="I12" s="29">
        <f>Costs!I17*Assumptions!I65</f>
        <v/>
      </c>
      <c r="J12" s="29">
        <f>Costs!J17*Assumptions!J65</f>
        <v/>
      </c>
      <c r="K12" s="29">
        <f>Costs!K17*Assumptions!K65</f>
        <v/>
      </c>
      <c r="L12" s="29">
        <f>Costs!L17*Assumptions!L65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-Costs!C14</f>
        <v/>
      </c>
      <c r="D5" s="29">
        <f>-Costs!D14</f>
        <v/>
      </c>
      <c r="E5" s="29">
        <f>-Costs!E14</f>
        <v/>
      </c>
      <c r="F5" s="29">
        <f>-Costs!F14</f>
        <v/>
      </c>
      <c r="G5" s="29">
        <f>-Costs!G14</f>
        <v/>
      </c>
      <c r="H5" s="29">
        <f>-Costs!H14</f>
        <v/>
      </c>
      <c r="I5" s="29">
        <f>-Costs!I14</f>
        <v/>
      </c>
      <c r="J5" s="29">
        <f>-Costs!J14</f>
        <v/>
      </c>
      <c r="K5" s="29">
        <f>-Costs!K14</f>
        <v/>
      </c>
      <c r="L5" s="29">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-Costs!C25</f>
        <v/>
      </c>
      <c r="D9" s="29">
        <f>-Costs!D25</f>
        <v/>
      </c>
      <c r="E9" s="29">
        <f>-Costs!E25</f>
        <v/>
      </c>
      <c r="F9" s="29">
        <f>-Costs!F25</f>
        <v/>
      </c>
      <c r="G9" s="29">
        <f>-Costs!G25</f>
        <v/>
      </c>
      <c r="H9" s="29">
        <f>-Costs!H25</f>
        <v/>
      </c>
      <c r="I9" s="29">
        <f>-Costs!I25</f>
        <v/>
      </c>
      <c r="J9" s="29">
        <f>-Costs!J25</f>
        <v/>
      </c>
      <c r="K9" s="29">
        <f>-Costs!K25</f>
        <v/>
      </c>
      <c r="L9" s="29">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1/(1+Assumptions!$C$81)^1</f>
        <v/>
      </c>
      <c r="D5" s="32">
        <f>1/(1+Assumptions!$C$81)^2</f>
        <v/>
      </c>
      <c r="E5" s="32">
        <f>1/(1+Assumptions!$C$81)^3</f>
        <v/>
      </c>
      <c r="F5" s="32">
        <f>1/(1+Assumptions!$C$81)^4</f>
        <v/>
      </c>
      <c r="G5" s="32">
        <f>1/(1+Assumptions!$C$81)^5</f>
        <v/>
      </c>
      <c r="H5" s="32">
        <f>1/(1+Assumptions!$C$81)^6</f>
        <v/>
      </c>
      <c r="I5" s="32">
        <f>1/(1+Assumptions!$C$81)^7</f>
        <v/>
      </c>
      <c r="J5" s="32">
        <f>1/(1+Assumptions!$C$81)^8</f>
        <v/>
      </c>
      <c r="K5" s="32">
        <f>1/(1+Assumptions!$C$81)^9</f>
        <v/>
      </c>
      <c r="L5" s="32">
        <f>1/(1+Assumptions!$C$81)^10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C4*0+L4*(1+Assumptions!$C$82)/(Assumptions!$C$81-Assumptions!$C$82)</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NPV(Assumptions!$C$81,C4:L4)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C21*Assumptions!$C$83</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B46*(1-Comparables!B29)-B46/Assumptions!$C$44*Comparables!C29*B45-Comparables!D29*B45</f>
        <v/>
      </c>
      <c r="D47" s="68" t="inlineStr">
        <is>
          <t>Headline take, plus per-transaction and monthly creator fees where they exist.</t>
        </is>
      </c>
    </row>
    <row r="48" ht="30" customHeight="1">
      <c r="A48" s="13" t="inlineStr">
        <is>
          <t xml:space="preserve">  Patreon - athlete keeps</t>
        </is>
      </c>
      <c r="B48" s="28">
        <f>B46*(1-Comparables!B32)-B46/Assumptions!$C$44*Comparables!C32*B45-Comparables!D32*B45</f>
        <v/>
      </c>
      <c r="D48" s="68" t="inlineStr">
        <is>
          <t>Headline take, plus per-transaction and monthly creator fees where they exist.</t>
        </is>
      </c>
    </row>
    <row r="49" ht="30" customHeight="1">
      <c r="A49" s="13" t="inlineStr">
        <is>
          <t xml:space="preserve">  Passes - athlete keeps</t>
        </is>
      </c>
      <c r="B49" s="28">
        <f>B46*(1-Comparables!B33)-B46/Assumptions!$C$44*Comparables!C33*B45-Comparables!D33*B45</f>
        <v/>
      </c>
      <c r="D49" s="68" t="inlineStr">
        <is>
          <t>Headline take, plus per-transaction and monthly creator fees where they exist.</t>
        </is>
      </c>
    </row>
    <row r="50" ht="30" customHeight="1">
      <c r="A50" s="13" t="inlineStr">
        <is>
          <t xml:space="preserve">  Stride (proposed) - athlete keeps</t>
        </is>
      </c>
      <c r="B50" s="28">
        <f>B46*(1-Comparables!B34)-B46/Assumptions!$C$44*Comparables!C34*B45-Comparables!D34*B45</f>
        <v/>
      </c>
      <c r="D50" s="68" t="inlineStr">
        <is>
          <t>Headline take, plus per-transaction and monthly creator fees where they exist.</t>
        </is>
      </c>
    </row>
    <row r="51" ht="30" customHeight="1">
      <c r="A51" s="2" t="inlineStr">
        <is>
          <t>Crossover vs Passes (EUR/month)</t>
        </is>
      </c>
      <c r="B51" s="29">
        <f>Comparables!D33*B45/((Comparables!B34-Comparables!B33)-Comparables!C33*B45/Assumptions!$C$44)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2">
        <f>Assumptions!$C$72</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2">
        <f>Assumptions!$C$74</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2">
        <f>Assumptions!$C$77</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2">
        <f>Assumptions!$C$17</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2">
        <f>Assumptions!$C$57</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2">
        <f>Assumptions!$C$48</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2">
        <f>Assumptions!$C$50</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2">
        <f>Assumptions!$C$52</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2">
        <f>Assumptions!$C$67</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2">
        <f>Assumptions!$C$84</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2">
        <f>Assumptions!$C$81</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2">
        <f>Assumptions!$C$83</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2">
        <f>Assumptions!$C$82</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13471.23223109862</v>
      </c>
      <c r="D10" s="20" t="n">
        <v>80172.86367656694</v>
      </c>
      <c r="E10" s="20" t="n">
        <v>324954.3266336625</v>
      </c>
      <c r="F10" s="20" t="n">
        <v>997729.1293521416</v>
      </c>
      <c r="G10" s="20" t="n">
        <v>2405944.872754806</v>
      </c>
      <c r="H10" s="20" t="n">
        <v>4500263.01540566</v>
      </c>
      <c r="I10" s="20" t="n">
        <v>7225273.097037062</v>
      </c>
      <c r="J10" s="20" t="n">
        <v>10131408.91889975</v>
      </c>
      <c r="K10" s="20" t="n">
        <v>12708269.29438148</v>
      </c>
      <c r="L10" s="20" t="n">
        <v>15327976.37081417</v>
      </c>
    </row>
    <row r="11">
      <c r="A11" s="13" t="inlineStr">
        <is>
          <t xml:space="preserve">  This workbook</t>
        </is>
      </c>
      <c r="B11" s="14" t="inlineStr">
        <is>
          <t>recalculated</t>
        </is>
      </c>
      <c r="C11" s="29">
        <f>Costs!C14</f>
        <v/>
      </c>
      <c r="D11" s="29">
        <f>Costs!D14</f>
        <v/>
      </c>
      <c r="E11" s="29">
        <f>Costs!E14</f>
        <v/>
      </c>
      <c r="F11" s="29">
        <f>Costs!F14</f>
        <v/>
      </c>
      <c r="G11" s="29">
        <f>Costs!G14</f>
        <v/>
      </c>
      <c r="H11" s="29">
        <f>Costs!H14</f>
        <v/>
      </c>
      <c r="I11" s="29">
        <f>Costs!I14</f>
        <v/>
      </c>
      <c r="J11" s="29">
        <f>Costs!J14</f>
        <v/>
      </c>
      <c r="K11" s="29">
        <f>Costs!K14</f>
        <v/>
      </c>
      <c r="L11" s="29">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15695.06262131096</v>
      </c>
      <c r="D15" s="20" t="n">
        <v>151293.9343323692</v>
      </c>
      <c r="E15" s="20" t="n">
        <v>714301.5717079744</v>
      </c>
      <c r="F15" s="20" t="n">
        <v>2372076.325600561</v>
      </c>
      <c r="G15" s="20" t="n">
        <v>5989875.699723898</v>
      </c>
      <c r="H15" s="20" t="n">
        <v>11703648.54342622</v>
      </c>
      <c r="I15" s="20" t="n">
        <v>19298432.41185699</v>
      </c>
      <c r="J15" s="20" t="n">
        <v>27558150.68136375</v>
      </c>
      <c r="K15" s="20" t="n">
        <v>34863533.37034767</v>
      </c>
      <c r="L15" s="20" t="n">
        <v>42633440.26484978</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Costs!C25</f>
        <v/>
      </c>
      <c r="D21" s="29">
        <f>Costs!D25</f>
        <v/>
      </c>
      <c r="E21" s="29">
        <f>Costs!E25</f>
        <v/>
      </c>
      <c r="F21" s="29">
        <f>Costs!F25</f>
        <v/>
      </c>
      <c r="G21" s="29">
        <f>Costs!G25</f>
        <v/>
      </c>
      <c r="H21" s="29">
        <f>Costs!H25</f>
        <v/>
      </c>
      <c r="I21" s="29">
        <f>Costs!I25</f>
        <v/>
      </c>
      <c r="J21" s="29">
        <f>Costs!J25</f>
        <v/>
      </c>
      <c r="K21" s="29">
        <f>Costs!K25</f>
        <v/>
      </c>
      <c r="L21" s="29">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-91018.2409668818</v>
      </c>
      <c r="D25" s="20" t="n">
        <v>-188286.6095083457</v>
      </c>
      <c r="E25" s="20" t="n">
        <v>-273766.7401593566</v>
      </c>
      <c r="F25" s="20" t="n">
        <v>81279.88920434518</v>
      </c>
      <c r="G25" s="20" t="n">
        <v>1719194.053925601</v>
      </c>
      <c r="H25" s="20" t="n">
        <v>5134890.618719673</v>
      </c>
      <c r="I25" s="20" t="n">
        <v>9991455.97114547</v>
      </c>
      <c r="J25" s="20" t="n">
        <v>16103641.91334267</v>
      </c>
      <c r="K25" s="20" t="n">
        <v>21750426.65716934</v>
      </c>
      <c r="L25" s="20" t="n">
        <v>28212219.73399667</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33">
        <f>Drivers!C51</f>
        <v/>
      </c>
      <c r="D51" s="33">
        <f>Drivers!D51</f>
        <v/>
      </c>
      <c r="E51" s="33">
        <f>Drivers!E51</f>
        <v/>
      </c>
      <c r="F51" s="33">
        <f>Drivers!F51</f>
        <v/>
      </c>
      <c r="G51" s="33">
        <f>Drivers!G51</f>
        <v/>
      </c>
      <c r="H51" s="33">
        <f>Drivers!H51</f>
        <v/>
      </c>
      <c r="I51" s="33">
        <f>Drivers!I51</f>
        <v/>
      </c>
      <c r="J51" s="33">
        <f>Drivers!J51</f>
        <v/>
      </c>
      <c r="K51" s="33">
        <f>Drivers!K51</f>
        <v/>
      </c>
      <c r="L51" s="33">
        <f>Drivers!L51</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0" t="n">
        <v>745.0980392156863</v>
      </c>
      <c r="D55" s="20" t="n">
        <v>3323.350588235294</v>
      </c>
      <c r="E55" s="20" t="n">
        <v>9197.09214117647</v>
      </c>
      <c r="F55" s="20" t="n">
        <v>18771.99477124183</v>
      </c>
      <c r="G55" s="20" t="n">
        <v>30419.20792569659</v>
      </c>
      <c r="H55" s="20" t="n">
        <v>36693.13446327682</v>
      </c>
      <c r="I55" s="20" t="n">
        <v>42886.17164898746</v>
      </c>
      <c r="J55" s="20" t="n">
        <v>45887.7522580645</v>
      </c>
      <c r="K55" s="20" t="n">
        <v>46656.10868347338</v>
      </c>
      <c r="L55" s="20" t="n">
        <v>46715.90313046164</v>
      </c>
    </row>
    <row r="56">
      <c r="A56" s="13" t="inlineStr">
        <is>
          <t xml:space="preserve">  This workbook</t>
        </is>
      </c>
      <c r="B56" s="14" t="inlineStr">
        <is>
          <t>recalculated</t>
        </is>
      </c>
      <c r="C56" s="29">
        <f>Costs!C13</f>
        <v/>
      </c>
      <c r="D56" s="29">
        <f>Costs!D13</f>
        <v/>
      </c>
      <c r="E56" s="29">
        <f>Costs!E13</f>
        <v/>
      </c>
      <c r="F56" s="29">
        <f>Costs!F13</f>
        <v/>
      </c>
      <c r="G56" s="29">
        <f>Costs!G13</f>
        <v/>
      </c>
      <c r="H56" s="29">
        <f>Costs!H13</f>
        <v/>
      </c>
      <c r="I56" s="29">
        <f>Costs!I13</f>
        <v/>
      </c>
      <c r="J56" s="29">
        <f>Costs!J13</f>
        <v/>
      </c>
      <c r="K56" s="29">
        <f>Costs!K13</f>
        <v/>
      </c>
      <c r="L56" s="29">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2" t="inlineStr">
        <is>
          <t>Balance sheet check (from BalanceSheet, must be zero):</t>
        </is>
      </c>
    </row>
    <row r="60">
      <c r="A60" s="39" t="inlineStr">
        <is>
          <t xml:space="preserve">  Assets less liabilities and equity</t>
        </is>
      </c>
      <c r="B60" s="40" t="inlineStr">
        <is>
          <t>must be 0</t>
        </is>
      </c>
      <c r="C60" s="91">
        <f>BalanceSheet!C20</f>
        <v/>
      </c>
      <c r="D60" s="91">
        <f>BalanceSheet!D20</f>
        <v/>
      </c>
      <c r="E60" s="91">
        <f>BalanceSheet!E20</f>
        <v/>
      </c>
      <c r="F60" s="91">
        <f>BalanceSheet!F20</f>
        <v/>
      </c>
      <c r="G60" s="91">
        <f>BalanceSheet!G20</f>
        <v/>
      </c>
      <c r="H60" s="91">
        <f>BalanceSheet!H20</f>
        <v/>
      </c>
      <c r="I60" s="91">
        <f>BalanceSheet!I20</f>
        <v/>
      </c>
      <c r="J60" s="91">
        <f>BalanceSheet!J20</f>
        <v/>
      </c>
      <c r="K60" s="91">
        <f>BalanceSheet!K20</f>
        <v/>
      </c>
      <c r="L6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2026-08-26T09:50:57Z</dcterms:created>
  <dcterms:modified xsi:type="dcterms:W3CDTF">2026-08-26T09:50:57Z</dcterms:modified>
</cp:coreProperties>
</file>