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HiringPlan     headcount by role, reconciled to the model</t>
        </is>
      </c>
    </row>
    <row r="41">
      <c r="A41" t="inlineStr">
        <is>
          <t xml:space="preserve">  CAC_CLV        acquisition cost against lifetime value</t>
        </is>
      </c>
    </row>
    <row r="42">
      <c r="A42" t="inlineStr">
        <is>
          <t xml:space="preserve">  KPIs           scale, quality of revenue, efficiency</t>
        </is>
      </c>
    </row>
    <row r="43">
      <c r="A43" t="inlineStr">
        <is>
          <t xml:space="preserve">  Check          the Python model's figures, to verify the formulas agree</t>
        </is>
      </c>
    </row>
    <row r="44">
      <c r="A44" t="inlineStr"/>
    </row>
    <row r="45">
      <c r="A45" s="2" t="inlineStr">
        <is>
          <t>WHY TEN YEARS</t>
        </is>
      </c>
    </row>
    <row r="46">
      <c r="A46" t="inlineStr">
        <is>
          <t>At Y7 the business is still compounding above 50%, so a terminal value placed</t>
        </is>
      </c>
    </row>
    <row r="47">
      <c r="A47" t="inlineStr">
        <is>
          <t>there does most of the valuation work and does it badly. Ten years lets growth</t>
        </is>
      </c>
    </row>
    <row r="48">
      <c r="A48" t="inlineStr">
        <is>
          <t>decelerate inside the explicit forecast, where it can be argued with.</t>
        </is>
      </c>
    </row>
    <row r="49">
      <c r="A49" t="inlineStr"/>
    </row>
    <row r="50">
      <c r="A50" s="2" t="inlineStr">
        <is>
          <t>EVIDENCE CHAIN</t>
        </is>
      </c>
    </row>
    <row r="51">
      <c r="A51" t="inlineStr">
        <is>
          <t xml:space="preserve">  Comparables (published facts) -&gt; MarketModel (derives ours) -&gt; Assumptions</t>
        </is>
      </c>
    </row>
    <row r="52">
      <c r="A52" t="inlineStr">
        <is>
          <t xml:space="preserve">  -&gt; Drivers -&gt; Revenue and Costs -&gt; statements -&gt; Valuation.</t>
        </is>
      </c>
    </row>
    <row r="53">
      <c r="A53" t="inlineStr">
        <is>
          <t xml:space="preserve">  From Assumptions rightwards, every link is a formula you can follow with</t>
        </is>
      </c>
    </row>
    <row r="54">
      <c r="A54" t="inlineStr">
        <is>
          <t xml:space="preserve">  Trace Precedents. The first arrow is checked rather than linked: MarketModel</t>
        </is>
      </c>
    </row>
    <row r="55">
      <c r="A55" t="inlineStr">
        <is>
          <t xml:space="preserve">  derives each figure from the published ones, and Assumptions carries the</t>
        </is>
      </c>
    </row>
    <row r="56">
      <c r="A56" t="inlineStr">
        <is>
          <t xml:space="preserve">  result rounded for reading -- 37 fans per athlete, not 37.026. Linking the</t>
        </is>
      </c>
    </row>
    <row r="57">
      <c r="A57" t="inlineStr">
        <is>
          <t xml:space="preserve">  cells would put the workbook a hair off the Python everywhere, which the</t>
        </is>
      </c>
    </row>
    <row r="58">
      <c r="A58" t="inlineStr">
        <is>
          <t xml:space="preserve">  Check sheet exists to forbid, so scripts/doc_consistency.py asserts the</t>
        </is>
      </c>
    </row>
    <row r="59">
      <c r="A59" t="inlineStr">
        <is>
          <t xml:space="preserve">  derivation still rounds to those literals instead. Refresh a comparable far</t>
        </is>
      </c>
    </row>
    <row r="60">
      <c r="A60" t="inlineStr">
        <is>
          <t xml:space="preserve">  enough to change one of them at the precision it is written and that check</t>
        </is>
      </c>
    </row>
    <row r="61">
      <c r="A61" t="inlineStr">
        <is>
          <t xml:space="preserve">  fails. A refresh too small to change any displayed figure passes, which is</t>
        </is>
      </c>
    </row>
    <row r="62">
      <c r="A62" t="inlineStr">
        <is>
          <t xml:space="preserve">  the same statement, not a loophole in it.</t>
        </is>
      </c>
    </row>
    <row r="63">
      <c r="A63" t="inlineStr"/>
    </row>
    <row r="64">
      <c r="A64" s="2" t="inlineStr">
        <is>
          <t>MODEL SHAPE</t>
        </is>
      </c>
    </row>
    <row r="65">
      <c r="A65" t="inlineStr">
        <is>
          <t>This is a target-driven model: athlete counts are the plan, and marketing spend</t>
        </is>
      </c>
    </row>
    <row r="66">
      <c r="A66" t="inlineStr">
        <is>
          <t>is derived from them at segment CAC. It is not a driver-driven model in which</t>
        </is>
      </c>
    </row>
    <row r="67">
      <c r="A67" t="inlineStr">
        <is>
          <t>spend produces athletes. That is the normal shape for a plan, but it means the</t>
        </is>
      </c>
    </row>
    <row r="68">
      <c r="A68"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t>
        </is>
      </c>
      <c r="B6" s="14" t="inlineStr">
        <is>
          <t>EUR</t>
        </is>
      </c>
      <c r="C6" s="30">
        <f>C5*Assumptions!C19+(1-C5)*Assumptions!C31</f>
        <v/>
      </c>
      <c r="D6" s="30">
        <f>D5*Assumptions!D19+(1-D5)*Assumptions!D31</f>
        <v/>
      </c>
      <c r="E6" s="30">
        <f>E5*Assumptions!E19+(1-E5)*Assumptions!E31</f>
        <v/>
      </c>
      <c r="F6" s="30">
        <f>F5*Assumptions!F19+(1-F5)*Assumptions!F31</f>
        <v/>
      </c>
      <c r="G6" s="30">
        <f>G5*Assumptions!G19+(1-G5)*Assumptions!G31</f>
        <v/>
      </c>
      <c r="H6" s="30">
        <f>H5*Assumptions!H19+(1-H5)*Assumptions!H31</f>
        <v/>
      </c>
      <c r="I6" s="30">
        <f>I5*Assumptions!I19+(1-I5)*Assumptions!I31</f>
        <v/>
      </c>
      <c r="J6" s="30">
        <f>J5*Assumptions!J19+(1-J5)*Assumptions!J31</f>
        <v/>
      </c>
      <c r="K6" s="30">
        <f>K5*Assumptions!K19+(1-K5)*Assumptions!K31</f>
        <v/>
      </c>
      <c r="L6" s="30">
        <f>L5*Assumptions!L19+(1-L5)*Assumptions!L31</f>
        <v/>
      </c>
    </row>
    <row r="7">
      <c r="A7" s="13" t="inlineStr">
        <is>
          <t>Blended athlete churn</t>
        </is>
      </c>
      <c r="B7" s="14" t="inlineStr">
        <is>
          <t>per year</t>
        </is>
      </c>
      <c r="C7" s="23">
        <f>C5*Assumptions!C14+(1-C5)*Assumptions!C26</f>
        <v/>
      </c>
      <c r="D7" s="23">
        <f>D5*Assumptions!D14+(1-D5)*Assumptions!D26</f>
        <v/>
      </c>
      <c r="E7" s="23">
        <f>E5*Assumptions!E14+(1-E5)*Assumptions!E26</f>
        <v/>
      </c>
      <c r="F7" s="23">
        <f>F5*Assumptions!F14+(1-F5)*Assumptions!F26</f>
        <v/>
      </c>
      <c r="G7" s="23">
        <f>G5*Assumptions!G14+(1-G5)*Assumptions!G26</f>
        <v/>
      </c>
      <c r="H7" s="23">
        <f>H5*Assumptions!H14+(1-H5)*Assumptions!H26</f>
        <v/>
      </c>
      <c r="I7" s="23">
        <f>I5*Assumptions!I14+(1-I5)*Assumptions!I26</f>
        <v/>
      </c>
      <c r="J7" s="23">
        <f>J5*Assumptions!J14+(1-J5)*Assumptions!J26</f>
        <v/>
      </c>
      <c r="K7" s="23">
        <f>K5*Assumptions!K14+(1-K5)*Assumptions!K26</f>
        <v/>
      </c>
      <c r="L7" s="23">
        <f>L5*Assumptions!L14+(1-L5)*Assumptions!L26</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THE SEGMENT THE PLAN STARTS IN</t>
        </is>
      </c>
      <c r="B18" s="12" t="n"/>
      <c r="C18" s="12" t="n"/>
      <c r="D18" s="12" t="n"/>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Payout cost, share per fan month</t>
        </is>
      </c>
      <c r="B23" s="14" t="inlineStr">
        <is>
          <t>EUR</t>
        </is>
      </c>
      <c r="C23" s="29">
        <f>C19*Assumptions!C46+Assumptions!C47/30</f>
        <v/>
      </c>
      <c r="D23" s="29">
        <f>D19*Assumptions!D46+Assumptions!D47/30</f>
        <v/>
      </c>
      <c r="E23" s="29">
        <f>E19*Assumptions!E46+Assumptions!E47/30</f>
        <v/>
      </c>
      <c r="F23" s="29">
        <f>F19*Assumptions!F46+Assumptions!F47/30</f>
        <v/>
      </c>
      <c r="G23" s="29">
        <f>G19*Assumptions!G46+Assumptions!G47/30</f>
        <v/>
      </c>
      <c r="H23" s="29">
        <f>H19*Assumptions!H46+Assumptions!H47/30</f>
        <v/>
      </c>
      <c r="I23" s="29">
        <f>I19*Assumptions!I46+Assumptions!I47/30</f>
        <v/>
      </c>
      <c r="J23" s="29">
        <f>J19*Assumptions!J46+Assumptions!J47/30</f>
        <v/>
      </c>
      <c r="K23" s="29">
        <f>K19*Assumptions!K46+Assumptions!K47/30</f>
        <v/>
      </c>
      <c r="L23" s="29">
        <f>L19*Assumptions!L46+Assumptions!L47/30</f>
        <v/>
      </c>
    </row>
    <row r="24">
      <c r="A24" s="13" t="inlineStr">
        <is>
          <t>Contribution per fan month</t>
        </is>
      </c>
      <c r="B24" s="14" t="inlineStr">
        <is>
          <t>EUR</t>
        </is>
      </c>
      <c r="C24" s="57">
        <f>C21-C22-C23</f>
        <v/>
      </c>
      <c r="D24" s="57">
        <f>D21-D22-D23</f>
        <v/>
      </c>
      <c r="E24" s="57">
        <f>E21-E22-E23</f>
        <v/>
      </c>
      <c r="F24" s="57">
        <f>F21-F22-F23</f>
        <v/>
      </c>
      <c r="G24" s="57">
        <f>G21-G22-G23</f>
        <v/>
      </c>
      <c r="H24" s="57">
        <f>H21-H22-H23</f>
        <v/>
      </c>
      <c r="I24" s="57">
        <f>I21-I22-I23</f>
        <v/>
      </c>
      <c r="J24" s="57">
        <f>J21-J22-J23</f>
        <v/>
      </c>
      <c r="K24" s="57">
        <f>K21-K22-K23</f>
        <v/>
      </c>
      <c r="L24" s="57">
        <f>L21-L22-L23</f>
        <v/>
      </c>
    </row>
    <row r="25">
      <c r="A25" s="13" t="inlineStr">
        <is>
          <t>Fan churn</t>
        </is>
      </c>
      <c r="B25" s="14" t="inlineStr">
        <is>
          <t>per month</t>
        </is>
      </c>
      <c r="C25" s="23">
        <f>Assumptions!C13</f>
        <v/>
      </c>
      <c r="D25" s="23">
        <f>Assumptions!D13</f>
        <v/>
      </c>
      <c r="E25" s="23">
        <f>Assumptions!E13</f>
        <v/>
      </c>
      <c r="F25" s="23">
        <f>Assumptions!F13</f>
        <v/>
      </c>
      <c r="G25" s="23">
        <f>Assumptions!G13</f>
        <v/>
      </c>
      <c r="H25" s="23">
        <f>Assumptions!H13</f>
        <v/>
      </c>
      <c r="I25" s="23">
        <f>Assumptions!I13</f>
        <v/>
      </c>
      <c r="J25" s="23">
        <f>Assumptions!J13</f>
        <v/>
      </c>
      <c r="K25" s="23">
        <f>Assumptions!K13</f>
        <v/>
      </c>
      <c r="L25" s="23">
        <f>Assumptions!L13</f>
        <v/>
      </c>
    </row>
    <row r="26">
      <c r="A26" s="13" t="inlineStr">
        <is>
          <t>Expected fan life</t>
        </is>
      </c>
      <c r="B26" s="14" t="inlineStr">
        <is>
          <t>months</t>
        </is>
      </c>
      <c r="C26" s="56">
        <f>IF(C25=0,0,1/C25)</f>
        <v/>
      </c>
      <c r="D26" s="56">
        <f>IF(D25=0,0,1/D25)</f>
        <v/>
      </c>
      <c r="E26" s="56">
        <f>IF(E25=0,0,1/E25)</f>
        <v/>
      </c>
      <c r="F26" s="56">
        <f>IF(F25=0,0,1/F25)</f>
        <v/>
      </c>
      <c r="G26" s="56">
        <f>IF(G25=0,0,1/G25)</f>
        <v/>
      </c>
      <c r="H26" s="56">
        <f>IF(H25=0,0,1/H25)</f>
        <v/>
      </c>
      <c r="I26" s="56">
        <f>IF(I25=0,0,1/I25)</f>
        <v/>
      </c>
      <c r="J26" s="56">
        <f>IF(J25=0,0,1/J25)</f>
        <v/>
      </c>
      <c r="K26" s="56">
        <f>IF(K25=0,0,1/K25)</f>
        <v/>
      </c>
      <c r="L26" s="56">
        <f>IF(L25=0,0,1/L25)</f>
        <v/>
      </c>
    </row>
    <row r="27">
      <c r="A27" s="44" t="inlineStr">
        <is>
          <t>FAN LTV</t>
        </is>
      </c>
      <c r="B27" s="40" t="inlineStr">
        <is>
          <t>EUR</t>
        </is>
      </c>
      <c r="C27" s="58">
        <f>C24*C26</f>
        <v/>
      </c>
      <c r="D27" s="58">
        <f>D24*D26</f>
        <v/>
      </c>
      <c r="E27" s="58">
        <f>E24*E26</f>
        <v/>
      </c>
      <c r="F27" s="58">
        <f>F24*F26</f>
        <v/>
      </c>
      <c r="G27" s="58">
        <f>G24*G26</f>
        <v/>
      </c>
      <c r="H27" s="58">
        <f>H24*H26</f>
        <v/>
      </c>
      <c r="I27" s="58">
        <f>I24*I26</f>
        <v/>
      </c>
      <c r="J27" s="58">
        <f>J24*J26</f>
        <v/>
      </c>
      <c r="K27" s="58">
        <f>K24*K26</f>
        <v/>
      </c>
      <c r="L27" s="58">
        <f>L24*L26</f>
        <v/>
      </c>
    </row>
    <row r="28">
      <c r="A28" s="13" t="inlineStr">
        <is>
          <t>Fan CAC</t>
        </is>
      </c>
      <c r="B28" s="14" t="inlineStr">
        <is>
          <t>EUR</t>
        </is>
      </c>
      <c r="C28" s="28" t="n">
        <v>0</v>
      </c>
      <c r="D28" s="28" t="n">
        <v>0</v>
      </c>
      <c r="E28" s="28" t="n">
        <v>0</v>
      </c>
      <c r="F28" s="28" t="n">
        <v>0</v>
      </c>
      <c r="G28" s="28" t="n">
        <v>0</v>
      </c>
      <c r="H28" s="28" t="n">
        <v>0</v>
      </c>
      <c r="I28" s="28" t="n">
        <v>0</v>
      </c>
      <c r="J28" s="28" t="n">
        <v>0</v>
      </c>
      <c r="K28" s="28" t="n">
        <v>0</v>
      </c>
      <c r="L28" s="28" t="n">
        <v>0</v>
      </c>
    </row>
    <row r="30">
      <c r="A30" s="54" t="inlineStr">
        <is>
          <t>Fan CAC is zero by construction: athletes bring their own audiences and the model spends nothing acquiring fans. That understates the risk rather than flattering the return, and the plan discloses it as such.</t>
        </is>
      </c>
    </row>
    <row r="32">
      <c r="A32" s="11" t="inlineStr">
        <is>
          <t>SPONSOR</t>
        </is>
      </c>
      <c r="B32" s="12" t="n"/>
      <c r="C32" s="12" t="n"/>
      <c r="D32" s="12" t="n"/>
      <c r="E32" s="12" t="n"/>
      <c r="F32" s="12" t="n"/>
      <c r="G32" s="12" t="n"/>
      <c r="H32" s="12" t="n"/>
      <c r="I32" s="12" t="n"/>
      <c r="J32" s="12" t="n"/>
      <c r="K32" s="12" t="n"/>
      <c r="L32" s="12" t="n"/>
    </row>
    <row r="33">
      <c r="A33" s="13" t="inlineStr">
        <is>
          <t>Sponsor CAC</t>
        </is>
      </c>
      <c r="B33" s="14" t="inlineStr">
        <is>
          <t>EUR</t>
        </is>
      </c>
      <c r="C33" s="30">
        <f>Assumptions!C37</f>
        <v/>
      </c>
      <c r="D33" s="30">
        <f>Assumptions!D37</f>
        <v/>
      </c>
      <c r="E33" s="30">
        <f>Assumptions!E37</f>
        <v/>
      </c>
      <c r="F33" s="30">
        <f>Assumptions!F37</f>
        <v/>
      </c>
      <c r="G33" s="30">
        <f>Assumptions!G37</f>
        <v/>
      </c>
      <c r="H33" s="30">
        <f>Assumptions!H37</f>
        <v/>
      </c>
      <c r="I33" s="30">
        <f>Assumptions!I37</f>
        <v/>
      </c>
      <c r="J33" s="30">
        <f>Assumptions!J37</f>
        <v/>
      </c>
      <c r="K33" s="30">
        <f>Assumptions!K37</f>
        <v/>
      </c>
      <c r="L33" s="30">
        <f>Assumptions!L37</f>
        <v/>
      </c>
    </row>
    <row r="34">
      <c r="A34" s="13" t="inlineStr">
        <is>
          <t>SaaS per paying sponsor</t>
        </is>
      </c>
      <c r="B34" s="14" t="inlineStr">
        <is>
          <t>EUR/yr</t>
        </is>
      </c>
      <c r="C34" s="30">
        <f>Assumptions!C36*12</f>
        <v/>
      </c>
      <c r="D34" s="30">
        <f>Assumptions!D36*12</f>
        <v/>
      </c>
      <c r="E34" s="30">
        <f>Assumptions!E36*12</f>
        <v/>
      </c>
      <c r="F34" s="30">
        <f>Assumptions!F36*12</f>
        <v/>
      </c>
      <c r="G34" s="30">
        <f>Assumptions!G36*12</f>
        <v/>
      </c>
      <c r="H34" s="30">
        <f>Assumptions!H36*12</f>
        <v/>
      </c>
      <c r="I34" s="30">
        <f>Assumptions!I36*12</f>
        <v/>
      </c>
      <c r="J34" s="30">
        <f>Assumptions!J36*12</f>
        <v/>
      </c>
      <c r="K34" s="30">
        <f>Assumptions!K36*12</f>
        <v/>
      </c>
      <c r="L34" s="30">
        <f>Assumptions!L36*12</f>
        <v/>
      </c>
    </row>
    <row r="35">
      <c r="A35" s="13" t="inlineStr">
        <is>
          <t>Sponsorship take per paying sponsor</t>
        </is>
      </c>
      <c r="B35" s="14" t="inlineStr">
        <is>
          <t>EUR/yr</t>
        </is>
      </c>
      <c r="C35" s="30">
        <f>IF(Drivers!C48=0,0,Revenue!C20/Drivers!C48)</f>
        <v/>
      </c>
      <c r="D35" s="30">
        <f>IF(Drivers!D48=0,0,Revenue!D20/Drivers!D48)</f>
        <v/>
      </c>
      <c r="E35" s="30">
        <f>IF(Drivers!E48=0,0,Revenue!E20/Drivers!E48)</f>
        <v/>
      </c>
      <c r="F35" s="30">
        <f>IF(Drivers!F48=0,0,Revenue!F20/Drivers!F48)</f>
        <v/>
      </c>
      <c r="G35" s="30">
        <f>IF(Drivers!G48=0,0,Revenue!G20/Drivers!G48)</f>
        <v/>
      </c>
      <c r="H35" s="30">
        <f>IF(Drivers!H48=0,0,Revenue!H20/Drivers!H48)</f>
        <v/>
      </c>
      <c r="I35" s="30">
        <f>IF(Drivers!I48=0,0,Revenue!I20/Drivers!I48)</f>
        <v/>
      </c>
      <c r="J35" s="30">
        <f>IF(Drivers!J48=0,0,Revenue!J20/Drivers!J48)</f>
        <v/>
      </c>
      <c r="K35" s="30">
        <f>IF(Drivers!K48=0,0,Revenue!K20/Drivers!K48)</f>
        <v/>
      </c>
      <c r="L35" s="30">
        <f>IF(Drivers!L48=0,0,Revenue!L20/Drivers!L48)</f>
        <v/>
      </c>
    </row>
    <row r="36">
      <c r="A36" s="13" t="inlineStr">
        <is>
          <t>Contribution per sponsor per year</t>
        </is>
      </c>
      <c r="B36" s="14" t="inlineStr">
        <is>
          <t>EUR</t>
        </is>
      </c>
      <c r="C36" s="47">
        <f>C34+C35</f>
        <v/>
      </c>
      <c r="D36" s="47">
        <f>D34+D35</f>
        <v/>
      </c>
      <c r="E36" s="47">
        <f>E34+E35</f>
        <v/>
      </c>
      <c r="F36" s="47">
        <f>F34+F35</f>
        <v/>
      </c>
      <c r="G36" s="47">
        <f>G34+G35</f>
        <v/>
      </c>
      <c r="H36" s="47">
        <f>H34+H35</f>
        <v/>
      </c>
      <c r="I36" s="47">
        <f>I34+I35</f>
        <v/>
      </c>
      <c r="J36" s="47">
        <f>J34+J35</f>
        <v/>
      </c>
      <c r="K36" s="47">
        <f>K34+K35</f>
        <v/>
      </c>
      <c r="L36" s="47">
        <f>L34+L35</f>
        <v/>
      </c>
    </row>
    <row r="37">
      <c r="A37" s="13" t="inlineStr">
        <is>
          <t xml:space="preserve">  at gross margin</t>
        </is>
      </c>
      <c r="B37" s="14" t="inlineStr">
        <is>
          <t>EUR</t>
        </is>
      </c>
      <c r="C37" s="30">
        <f>C36*'P&amp;L'!C7</f>
        <v/>
      </c>
      <c r="D37" s="30">
        <f>D36*'P&amp;L'!D7</f>
        <v/>
      </c>
      <c r="E37" s="30">
        <f>E36*'P&amp;L'!E7</f>
        <v/>
      </c>
      <c r="F37" s="30">
        <f>F36*'P&amp;L'!F7</f>
        <v/>
      </c>
      <c r="G37" s="30">
        <f>G36*'P&amp;L'!G7</f>
        <v/>
      </c>
      <c r="H37" s="30">
        <f>H36*'P&amp;L'!H7</f>
        <v/>
      </c>
      <c r="I37" s="30">
        <f>I36*'P&amp;L'!I7</f>
        <v/>
      </c>
      <c r="J37" s="30">
        <f>J36*'P&amp;L'!J7</f>
        <v/>
      </c>
      <c r="K37" s="30">
        <f>K36*'P&amp;L'!K7</f>
        <v/>
      </c>
      <c r="L37" s="30">
        <f>L36*'P&amp;L'!L7</f>
        <v/>
      </c>
    </row>
    <row r="38">
      <c r="A38" s="44" t="inlineStr">
        <is>
          <t>CAC payback</t>
        </is>
      </c>
      <c r="B38" s="40" t="inlineStr">
        <is>
          <t>months</t>
        </is>
      </c>
      <c r="C38" s="51">
        <f>IF(C37&lt;=0,0,12*C33/C37)</f>
        <v/>
      </c>
      <c r="D38" s="51">
        <f>IF(D37&lt;=0,0,12*D33/D37)</f>
        <v/>
      </c>
      <c r="E38" s="51">
        <f>IF(E37&lt;=0,0,12*E33/E37)</f>
        <v/>
      </c>
      <c r="F38" s="51">
        <f>IF(F37&lt;=0,0,12*F33/F37)</f>
        <v/>
      </c>
      <c r="G38" s="51">
        <f>IF(G37&lt;=0,0,12*G33/G37)</f>
        <v/>
      </c>
      <c r="H38" s="51">
        <f>IF(H37&lt;=0,0,12*H33/H37)</f>
        <v/>
      </c>
      <c r="I38" s="51">
        <f>IF(I37&lt;=0,0,12*I33/I37)</f>
        <v/>
      </c>
      <c r="J38" s="51">
        <f>IF(J37&lt;=0,0,12*J33/J37)</f>
        <v/>
      </c>
      <c r="K38" s="51">
        <f>IF(K37&lt;=0,0,12*K33/K37)</f>
        <v/>
      </c>
      <c r="L38" s="51">
        <f>IF(L37&lt;=0,0,12*L33/L37)</f>
        <v/>
      </c>
    </row>
    <row r="40">
      <c r="A40"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fan subs + SaaS / 12</t>
        </is>
      </c>
      <c r="C8" s="30">
        <f>(Revenue!C19+Revenue!C21)/12</f>
        <v/>
      </c>
      <c r="D8" s="30">
        <f>(Revenue!D19+Revenue!D21)/12</f>
        <v/>
      </c>
      <c r="E8" s="30">
        <f>(Revenue!E19+Revenue!E21)/12</f>
        <v/>
      </c>
      <c r="F8" s="30">
        <f>(Revenue!F19+Revenue!F21)/12</f>
        <v/>
      </c>
      <c r="G8" s="30">
        <f>(Revenue!G19+Revenue!G21)/12</f>
        <v/>
      </c>
      <c r="H8" s="30">
        <f>(Revenue!H19+Revenue!H21)/12</f>
        <v/>
      </c>
      <c r="I8" s="30">
        <f>(Revenue!I19+Revenue!I21)/12</f>
        <v/>
      </c>
      <c r="J8" s="30">
        <f>(Revenue!J19+Revenue!J21)/12</f>
        <v/>
      </c>
      <c r="K8" s="30">
        <f>(Revenue!K19+Revenue!K21)/12</f>
        <v/>
      </c>
      <c r="L8" s="30">
        <f>(Revenue!L19+Revenue!L21)/12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9">
        <f>SUM(C6:L6)</f>
        <v/>
      </c>
    </row>
    <row r="11">
      <c r="A11" s="13" t="inlineStr">
        <is>
          <t>Terminal value at Y10</t>
        </is>
      </c>
      <c r="C11" s="59">
        <f>L4*(1+Assumptions!$C$86)/(Assumptions!$C$85-Assumptions!$C$86)</f>
        <v/>
      </c>
    </row>
    <row r="12">
      <c r="A12" s="13" t="inlineStr">
        <is>
          <t>PV of terminal value</t>
        </is>
      </c>
      <c r="C12" s="59">
        <f>C11*L5</f>
        <v/>
      </c>
    </row>
    <row r="13">
      <c r="A13" s="2" t="inlineStr">
        <is>
          <t>ENTERPRISE VALUE (DCF)</t>
        </is>
      </c>
      <c r="C13" s="59">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9">
        <f>NPV(Assumptions!$C$85,C4:L4)</f>
        <v/>
      </c>
    </row>
    <row r="17">
      <c r="A17" s="13" t="inlineStr">
        <is>
          <t>IRR of the plan</t>
        </is>
      </c>
      <c r="C17" s="60">
        <f>IRR(C4:L4)</f>
        <v/>
      </c>
    </row>
    <row r="18">
      <c r="A18" s="13" t="inlineStr">
        <is>
          <t>IRR incl. terminal value</t>
        </is>
      </c>
      <c r="C18" s="60">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9">
        <f>Revenue!L22</f>
        <v/>
      </c>
    </row>
    <row r="22">
      <c r="A22" s="13" t="inlineStr">
        <is>
          <t>Exit value at Y10</t>
        </is>
      </c>
      <c r="C22" s="59">
        <f>C21*Assumptions!$C$87</f>
        <v/>
      </c>
    </row>
    <row r="23">
      <c r="A23" s="13" t="inlineStr">
        <is>
          <t>Discounted to today</t>
        </is>
      </c>
      <c r="C23" s="59">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1" t="n">
        <v>0.18</v>
      </c>
      <c r="D26" s="61" t="n">
        <v>0.2</v>
      </c>
      <c r="E26" s="61" t="n">
        <v>0.22</v>
      </c>
      <c r="F26" s="61" t="n">
        <v>0.25</v>
      </c>
      <c r="G26" s="61" t="n">
        <v>0.28</v>
      </c>
      <c r="H26" s="61" t="n">
        <v>0.3</v>
      </c>
    </row>
    <row r="27">
      <c r="A27" s="60" t="n">
        <v>0.01</v>
      </c>
      <c r="C27" s="62">
        <f>CashFlow!C9/(1+0.18)^1+CashFlow!D9/(1+0.18)^2+CashFlow!E9/(1+0.18)^3+CashFlow!F9/(1+0.18)^4+CashFlow!G9/(1+0.18)^5+CashFlow!H9/(1+0.18)^6+CashFlow!I9/(1+0.18)^7+CashFlow!J9/(1+0.18)^8+CashFlow!K9/(1+0.18)^9+CashFlow!L9/(1+0.18)^10+CashFlow!L9*(1+0.01)/(0.18-0.01)/(1+0.18)^10</f>
        <v/>
      </c>
      <c r="D27" s="62">
        <f>CashFlow!C9/(1+0.2)^1+CashFlow!D9/(1+0.2)^2+CashFlow!E9/(1+0.2)^3+CashFlow!F9/(1+0.2)^4+CashFlow!G9/(1+0.2)^5+CashFlow!H9/(1+0.2)^6+CashFlow!I9/(1+0.2)^7+CashFlow!J9/(1+0.2)^8+CashFlow!K9/(1+0.2)^9+CashFlow!L9/(1+0.2)^10+CashFlow!L9*(1+0.01)/(0.2-0.01)/(1+0.2)^10</f>
        <v/>
      </c>
      <c r="E27" s="62">
        <f>CashFlow!C9/(1+0.22)^1+CashFlow!D9/(1+0.22)^2+CashFlow!E9/(1+0.22)^3+CashFlow!F9/(1+0.22)^4+CashFlow!G9/(1+0.22)^5+CashFlow!H9/(1+0.22)^6+CashFlow!I9/(1+0.22)^7+CashFlow!J9/(1+0.22)^8+CashFlow!K9/(1+0.22)^9+CashFlow!L9/(1+0.22)^10+CashFlow!L9*(1+0.01)/(0.22-0.01)/(1+0.22)^10</f>
        <v/>
      </c>
      <c r="F27" s="62">
        <f>CashFlow!C9/(1+0.25)^1+CashFlow!D9/(1+0.25)^2+CashFlow!E9/(1+0.25)^3+CashFlow!F9/(1+0.25)^4+CashFlow!G9/(1+0.25)^5+CashFlow!H9/(1+0.25)^6+CashFlow!I9/(1+0.25)^7+CashFlow!J9/(1+0.25)^8+CashFlow!K9/(1+0.25)^9+CashFlow!L9/(1+0.25)^10+CashFlow!L9*(1+0.01)/(0.25-0.01)/(1+0.25)^10</f>
        <v/>
      </c>
      <c r="G27" s="62">
        <f>CashFlow!C9/(1+0.28)^1+CashFlow!D9/(1+0.28)^2+CashFlow!E9/(1+0.28)^3+CashFlow!F9/(1+0.28)^4+CashFlow!G9/(1+0.28)^5+CashFlow!H9/(1+0.28)^6+CashFlow!I9/(1+0.28)^7+CashFlow!J9/(1+0.28)^8+CashFlow!K9/(1+0.28)^9+CashFlow!L9/(1+0.28)^10+CashFlow!L9*(1+0.01)/(0.28-0.01)/(1+0.28)^10</f>
        <v/>
      </c>
      <c r="H27" s="62">
        <f>CashFlow!C9/(1+0.3)^1+CashFlow!D9/(1+0.3)^2+CashFlow!E9/(1+0.3)^3+CashFlow!F9/(1+0.3)^4+CashFlow!G9/(1+0.3)^5+CashFlow!H9/(1+0.3)^6+CashFlow!I9/(1+0.3)^7+CashFlow!J9/(1+0.3)^8+CashFlow!K9/(1+0.3)^9+CashFlow!L9/(1+0.3)^10+CashFlow!L9*(1+0.01)/(0.3-0.01)/(1+0.3)^10</f>
        <v/>
      </c>
    </row>
    <row r="28">
      <c r="A28" s="60" t="n">
        <v>0.02</v>
      </c>
      <c r="C28" s="62">
        <f>CashFlow!C9/(1+0.18)^1+CashFlow!D9/(1+0.18)^2+CashFlow!E9/(1+0.18)^3+CashFlow!F9/(1+0.18)^4+CashFlow!G9/(1+0.18)^5+CashFlow!H9/(1+0.18)^6+CashFlow!I9/(1+0.18)^7+CashFlow!J9/(1+0.18)^8+CashFlow!K9/(1+0.18)^9+CashFlow!L9/(1+0.18)^10+CashFlow!L9*(1+0.02)/(0.18-0.02)/(1+0.18)^10</f>
        <v/>
      </c>
      <c r="D28" s="62">
        <f>CashFlow!C9/(1+0.2)^1+CashFlow!D9/(1+0.2)^2+CashFlow!E9/(1+0.2)^3+CashFlow!F9/(1+0.2)^4+CashFlow!G9/(1+0.2)^5+CashFlow!H9/(1+0.2)^6+CashFlow!I9/(1+0.2)^7+CashFlow!J9/(1+0.2)^8+CashFlow!K9/(1+0.2)^9+CashFlow!L9/(1+0.2)^10+CashFlow!L9*(1+0.02)/(0.2-0.02)/(1+0.2)^10</f>
        <v/>
      </c>
      <c r="E28" s="62">
        <f>CashFlow!C9/(1+0.22)^1+CashFlow!D9/(1+0.22)^2+CashFlow!E9/(1+0.22)^3+CashFlow!F9/(1+0.22)^4+CashFlow!G9/(1+0.22)^5+CashFlow!H9/(1+0.22)^6+CashFlow!I9/(1+0.22)^7+CashFlow!J9/(1+0.22)^8+CashFlow!K9/(1+0.22)^9+CashFlow!L9/(1+0.22)^10+CashFlow!L9*(1+0.02)/(0.22-0.02)/(1+0.22)^10</f>
        <v/>
      </c>
      <c r="F28" s="62">
        <f>CashFlow!C9/(1+0.25)^1+CashFlow!D9/(1+0.25)^2+CashFlow!E9/(1+0.25)^3+CashFlow!F9/(1+0.25)^4+CashFlow!G9/(1+0.25)^5+CashFlow!H9/(1+0.25)^6+CashFlow!I9/(1+0.25)^7+CashFlow!J9/(1+0.25)^8+CashFlow!K9/(1+0.25)^9+CashFlow!L9/(1+0.25)^10+CashFlow!L9*(1+0.02)/(0.25-0.02)/(1+0.25)^10</f>
        <v/>
      </c>
      <c r="G28" s="62">
        <f>CashFlow!C9/(1+0.28)^1+CashFlow!D9/(1+0.28)^2+CashFlow!E9/(1+0.28)^3+CashFlow!F9/(1+0.28)^4+CashFlow!G9/(1+0.28)^5+CashFlow!H9/(1+0.28)^6+CashFlow!I9/(1+0.28)^7+CashFlow!J9/(1+0.28)^8+CashFlow!K9/(1+0.28)^9+CashFlow!L9/(1+0.28)^10+CashFlow!L9*(1+0.02)/(0.28-0.02)/(1+0.28)^10</f>
        <v/>
      </c>
      <c r="H28" s="62">
        <f>CashFlow!C9/(1+0.3)^1+CashFlow!D9/(1+0.3)^2+CashFlow!E9/(1+0.3)^3+CashFlow!F9/(1+0.3)^4+CashFlow!G9/(1+0.3)^5+CashFlow!H9/(1+0.3)^6+CashFlow!I9/(1+0.3)^7+CashFlow!J9/(1+0.3)^8+CashFlow!K9/(1+0.3)^9+CashFlow!L9/(1+0.3)^10+CashFlow!L9*(1+0.02)/(0.3-0.02)/(1+0.3)^10</f>
        <v/>
      </c>
    </row>
    <row r="29">
      <c r="A29" s="60" t="n">
        <v>0.03</v>
      </c>
      <c r="C29" s="62">
        <f>CashFlow!C9/(1+0.18)^1+CashFlow!D9/(1+0.18)^2+CashFlow!E9/(1+0.18)^3+CashFlow!F9/(1+0.18)^4+CashFlow!G9/(1+0.18)^5+CashFlow!H9/(1+0.18)^6+CashFlow!I9/(1+0.18)^7+CashFlow!J9/(1+0.18)^8+CashFlow!K9/(1+0.18)^9+CashFlow!L9/(1+0.18)^10+CashFlow!L9*(1+0.03)/(0.18-0.03)/(1+0.18)^10</f>
        <v/>
      </c>
      <c r="D29" s="62">
        <f>CashFlow!C9/(1+0.2)^1+CashFlow!D9/(1+0.2)^2+CashFlow!E9/(1+0.2)^3+CashFlow!F9/(1+0.2)^4+CashFlow!G9/(1+0.2)^5+CashFlow!H9/(1+0.2)^6+CashFlow!I9/(1+0.2)^7+CashFlow!J9/(1+0.2)^8+CashFlow!K9/(1+0.2)^9+CashFlow!L9/(1+0.2)^10+CashFlow!L9*(1+0.03)/(0.2-0.03)/(1+0.2)^10</f>
        <v/>
      </c>
      <c r="E29" s="62">
        <f>CashFlow!C9/(1+0.22)^1+CashFlow!D9/(1+0.22)^2+CashFlow!E9/(1+0.22)^3+CashFlow!F9/(1+0.22)^4+CashFlow!G9/(1+0.22)^5+CashFlow!H9/(1+0.22)^6+CashFlow!I9/(1+0.22)^7+CashFlow!J9/(1+0.22)^8+CashFlow!K9/(1+0.22)^9+CashFlow!L9/(1+0.22)^10+CashFlow!L9*(1+0.03)/(0.22-0.03)/(1+0.22)^10</f>
        <v/>
      </c>
      <c r="F29" s="62">
        <f>CashFlow!C9/(1+0.25)^1+CashFlow!D9/(1+0.25)^2+CashFlow!E9/(1+0.25)^3+CashFlow!F9/(1+0.25)^4+CashFlow!G9/(1+0.25)^5+CashFlow!H9/(1+0.25)^6+CashFlow!I9/(1+0.25)^7+CashFlow!J9/(1+0.25)^8+CashFlow!K9/(1+0.25)^9+CashFlow!L9/(1+0.25)^10+CashFlow!L9*(1+0.03)/(0.25-0.03)/(1+0.25)^10</f>
        <v/>
      </c>
      <c r="G29" s="62">
        <f>CashFlow!C9/(1+0.28)^1+CashFlow!D9/(1+0.28)^2+CashFlow!E9/(1+0.28)^3+CashFlow!F9/(1+0.28)^4+CashFlow!G9/(1+0.28)^5+CashFlow!H9/(1+0.28)^6+CashFlow!I9/(1+0.28)^7+CashFlow!J9/(1+0.28)^8+CashFlow!K9/(1+0.28)^9+CashFlow!L9/(1+0.28)^10+CashFlow!L9*(1+0.03)/(0.28-0.03)/(1+0.28)^10</f>
        <v/>
      </c>
      <c r="H29" s="62">
        <f>CashFlow!C9/(1+0.3)^1+CashFlow!D9/(1+0.3)^2+CashFlow!E9/(1+0.3)^3+CashFlow!F9/(1+0.3)^4+CashFlow!G9/(1+0.3)^5+CashFlow!H9/(1+0.3)^6+CashFlow!I9/(1+0.3)^7+CashFlow!J9/(1+0.3)^8+CashFlow!K9/(1+0.3)^9+CashFlow!L9/(1+0.3)^10+CashFlow!L9*(1+0.03)/(0.3-0.03)/(1+0.3)^10</f>
        <v/>
      </c>
    </row>
    <row r="30">
      <c r="A30" s="60" t="n">
        <v>0.04</v>
      </c>
      <c r="C30" s="62">
        <f>CashFlow!C9/(1+0.18)^1+CashFlow!D9/(1+0.18)^2+CashFlow!E9/(1+0.18)^3+CashFlow!F9/(1+0.18)^4+CashFlow!G9/(1+0.18)^5+CashFlow!H9/(1+0.18)^6+CashFlow!I9/(1+0.18)^7+CashFlow!J9/(1+0.18)^8+CashFlow!K9/(1+0.18)^9+CashFlow!L9/(1+0.18)^10+CashFlow!L9*(1+0.04)/(0.18-0.04)/(1+0.18)^10</f>
        <v/>
      </c>
      <c r="D30" s="62">
        <f>CashFlow!C9/(1+0.2)^1+CashFlow!D9/(1+0.2)^2+CashFlow!E9/(1+0.2)^3+CashFlow!F9/(1+0.2)^4+CashFlow!G9/(1+0.2)^5+CashFlow!H9/(1+0.2)^6+CashFlow!I9/(1+0.2)^7+CashFlow!J9/(1+0.2)^8+CashFlow!K9/(1+0.2)^9+CashFlow!L9/(1+0.2)^10+CashFlow!L9*(1+0.04)/(0.2-0.04)/(1+0.2)^10</f>
        <v/>
      </c>
      <c r="E30" s="62">
        <f>CashFlow!C9/(1+0.22)^1+CashFlow!D9/(1+0.22)^2+CashFlow!E9/(1+0.22)^3+CashFlow!F9/(1+0.22)^4+CashFlow!G9/(1+0.22)^5+CashFlow!H9/(1+0.22)^6+CashFlow!I9/(1+0.22)^7+CashFlow!J9/(1+0.22)^8+CashFlow!K9/(1+0.22)^9+CashFlow!L9/(1+0.22)^10+CashFlow!L9*(1+0.04)/(0.22-0.04)/(1+0.22)^10</f>
        <v/>
      </c>
      <c r="F30" s="62">
        <f>CashFlow!C9/(1+0.25)^1+CashFlow!D9/(1+0.25)^2+CashFlow!E9/(1+0.25)^3+CashFlow!F9/(1+0.25)^4+CashFlow!G9/(1+0.25)^5+CashFlow!H9/(1+0.25)^6+CashFlow!I9/(1+0.25)^7+CashFlow!J9/(1+0.25)^8+CashFlow!K9/(1+0.25)^9+CashFlow!L9/(1+0.25)^10+CashFlow!L9*(1+0.04)/(0.25-0.04)/(1+0.25)^10</f>
        <v/>
      </c>
      <c r="G30" s="62">
        <f>CashFlow!C9/(1+0.28)^1+CashFlow!D9/(1+0.28)^2+CashFlow!E9/(1+0.28)^3+CashFlow!F9/(1+0.28)^4+CashFlow!G9/(1+0.28)^5+CashFlow!H9/(1+0.28)^6+CashFlow!I9/(1+0.28)^7+CashFlow!J9/(1+0.28)^8+CashFlow!K9/(1+0.28)^9+CashFlow!L9/(1+0.28)^10+CashFlow!L9*(1+0.04)/(0.28-0.04)/(1+0.28)^10</f>
        <v/>
      </c>
      <c r="H30" s="62">
        <f>CashFlow!C9/(1+0.3)^1+CashFlow!D9/(1+0.3)^2+CashFlow!E9/(1+0.3)^3+CashFlow!F9/(1+0.3)^4+CashFlow!G9/(1+0.3)^5+CashFlow!H9/(1+0.3)^6+CashFlow!I9/(1+0.3)^7+CashFlow!J9/(1+0.3)^8+CashFlow!K9/(1+0.3)^9+CashFlow!L9/(1+0.3)^10+CashFlow!L9*(1+0.04)/(0.3-0.04)/(1+0.3)^10</f>
        <v/>
      </c>
    </row>
    <row r="31">
      <c r="A31" s="60" t="n">
        <v>0.05</v>
      </c>
      <c r="C31" s="62">
        <f>CashFlow!C9/(1+0.18)^1+CashFlow!D9/(1+0.18)^2+CashFlow!E9/(1+0.18)^3+CashFlow!F9/(1+0.18)^4+CashFlow!G9/(1+0.18)^5+CashFlow!H9/(1+0.18)^6+CashFlow!I9/(1+0.18)^7+CashFlow!J9/(1+0.18)^8+CashFlow!K9/(1+0.18)^9+CashFlow!L9/(1+0.18)^10+CashFlow!L9*(1+0.05)/(0.18-0.05)/(1+0.18)^10</f>
        <v/>
      </c>
      <c r="D31" s="62">
        <f>CashFlow!C9/(1+0.2)^1+CashFlow!D9/(1+0.2)^2+CashFlow!E9/(1+0.2)^3+CashFlow!F9/(1+0.2)^4+CashFlow!G9/(1+0.2)^5+CashFlow!H9/(1+0.2)^6+CashFlow!I9/(1+0.2)^7+CashFlow!J9/(1+0.2)^8+CashFlow!K9/(1+0.2)^9+CashFlow!L9/(1+0.2)^10+CashFlow!L9*(1+0.05)/(0.2-0.05)/(1+0.2)^10</f>
        <v/>
      </c>
      <c r="E31" s="62">
        <f>CashFlow!C9/(1+0.22)^1+CashFlow!D9/(1+0.22)^2+CashFlow!E9/(1+0.22)^3+CashFlow!F9/(1+0.22)^4+CashFlow!G9/(1+0.22)^5+CashFlow!H9/(1+0.22)^6+CashFlow!I9/(1+0.22)^7+CashFlow!J9/(1+0.22)^8+CashFlow!K9/(1+0.22)^9+CashFlow!L9/(1+0.22)^10+CashFlow!L9*(1+0.05)/(0.22-0.05)/(1+0.22)^10</f>
        <v/>
      </c>
      <c r="F31" s="62">
        <f>CashFlow!C9/(1+0.25)^1+CashFlow!D9/(1+0.25)^2+CashFlow!E9/(1+0.25)^3+CashFlow!F9/(1+0.25)^4+CashFlow!G9/(1+0.25)^5+CashFlow!H9/(1+0.25)^6+CashFlow!I9/(1+0.25)^7+CashFlow!J9/(1+0.25)^8+CashFlow!K9/(1+0.25)^9+CashFlow!L9/(1+0.25)^10+CashFlow!L9*(1+0.05)/(0.25-0.05)/(1+0.25)^10</f>
        <v/>
      </c>
      <c r="G31" s="62">
        <f>CashFlow!C9/(1+0.28)^1+CashFlow!D9/(1+0.28)^2+CashFlow!E9/(1+0.28)^3+CashFlow!F9/(1+0.28)^4+CashFlow!G9/(1+0.28)^5+CashFlow!H9/(1+0.28)^6+CashFlow!I9/(1+0.28)^7+CashFlow!J9/(1+0.28)^8+CashFlow!K9/(1+0.28)^9+CashFlow!L9/(1+0.28)^10+CashFlow!L9*(1+0.05)/(0.28-0.05)/(1+0.28)^10</f>
        <v/>
      </c>
      <c r="H31" s="62">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4" t="inlineStr">
        <is>
          <t>Metric</t>
        </is>
      </c>
      <c r="B4" s="64" t="inlineStr">
        <is>
          <t>Value</t>
        </is>
      </c>
      <c r="C4" s="64" t="inlineStr">
        <is>
          <t>Unit</t>
        </is>
      </c>
      <c r="D4" s="64" t="inlineStr">
        <is>
          <t>Platform</t>
        </is>
      </c>
      <c r="E4" s="64" t="inlineStr">
        <is>
          <t>Period</t>
        </is>
      </c>
      <c r="F4" s="64" t="inlineStr">
        <is>
          <t>Source</t>
        </is>
      </c>
    </row>
    <row r="5">
      <c r="A5" s="65" t="inlineStr">
        <is>
          <t>Gross payments (GMV)</t>
        </is>
      </c>
      <c r="B5" s="66" t="n">
        <v>7220000000</v>
      </c>
      <c r="C5" s="67" t="inlineStr">
        <is>
          <t>USD</t>
        </is>
      </c>
      <c r="D5" s="67" t="inlineStr">
        <is>
          <t>OnlyFans</t>
        </is>
      </c>
      <c r="E5" s="67" t="inlineStr">
        <is>
          <t>FY2024</t>
        </is>
      </c>
      <c r="F5" s="67" t="inlineStr">
        <is>
          <t>Fenix International Ltd filed accounts (Companies House 10354575)</t>
        </is>
      </c>
    </row>
    <row r="6">
      <c r="A6" s="65" t="inlineStr">
        <is>
          <t>Net revenue</t>
        </is>
      </c>
      <c r="B6" s="66" t="n">
        <v>1410000000</v>
      </c>
      <c r="C6" s="67" t="inlineStr">
        <is>
          <t>USD</t>
        </is>
      </c>
      <c r="D6" s="67" t="inlineStr">
        <is>
          <t>OnlyFans</t>
        </is>
      </c>
      <c r="E6" s="67" t="inlineStr">
        <is>
          <t>FY2024</t>
        </is>
      </c>
      <c r="F6" s="67" t="inlineStr">
        <is>
          <t>Fenix International Ltd filed accounts (Companies House 10354575)</t>
        </is>
      </c>
    </row>
    <row r="7">
      <c r="A7" s="65" t="inlineStr">
        <is>
          <t>Paid to creators</t>
        </is>
      </c>
      <c r="B7" s="66" t="n">
        <v>5800000000</v>
      </c>
      <c r="C7" s="67" t="inlineStr">
        <is>
          <t>USD</t>
        </is>
      </c>
      <c r="D7" s="67" t="inlineStr">
        <is>
          <t>OnlyFans</t>
        </is>
      </c>
      <c r="E7" s="67" t="inlineStr">
        <is>
          <t>FY2024</t>
        </is>
      </c>
      <c r="F7" s="67" t="inlineStr">
        <is>
          <t>Fenix International Ltd filed accounts — 80.3% of gross</t>
        </is>
      </c>
    </row>
    <row r="8">
      <c r="A8" s="65" t="inlineStr">
        <is>
          <t>Creator accounts</t>
        </is>
      </c>
      <c r="B8" s="66" t="n">
        <v>4634000</v>
      </c>
      <c r="C8" s="67" t="inlineStr">
        <is>
          <t>count</t>
        </is>
      </c>
      <c r="D8" s="67" t="inlineStr">
        <is>
          <t>OnlyFans</t>
        </is>
      </c>
      <c r="E8" s="67" t="inlineStr">
        <is>
          <t>FY2024</t>
        </is>
      </c>
      <c r="F8" s="67" t="inlineStr">
        <is>
          <t>Variety — +13% YoY</t>
        </is>
      </c>
    </row>
    <row r="9">
      <c r="A9" s="65" t="inlineStr">
        <is>
          <t>Fan accounts</t>
        </is>
      </c>
      <c r="B9" s="66" t="n">
        <v>377500000</v>
      </c>
      <c r="C9" s="67" t="inlineStr">
        <is>
          <t>count</t>
        </is>
      </c>
      <c r="D9" s="67" t="inlineStr">
        <is>
          <t>OnlyFans</t>
        </is>
      </c>
      <c r="E9" s="67" t="inlineStr">
        <is>
          <t>FY2024</t>
        </is>
      </c>
      <c r="F9" s="67" t="inlineStr">
        <is>
          <t>Variety — +24% YoY</t>
        </is>
      </c>
    </row>
    <row r="10">
      <c r="A10" s="65" t="inlineStr">
        <is>
          <t>Reported average creator earnings</t>
        </is>
      </c>
      <c r="B10" s="66" t="n">
        <v>131</v>
      </c>
      <c r="C10" s="67" t="inlineStr">
        <is>
          <t>USD/month</t>
        </is>
      </c>
      <c r="D10" s="67" t="inlineStr">
        <is>
          <t>OnlyFans</t>
        </is>
      </c>
      <c r="E10" s="67" t="inlineStr">
        <is>
          <t>FY2024</t>
        </is>
      </c>
      <c r="F10" s="67" t="inlineStr">
        <is>
          <t>Sci-Tech Today / ElectroIQ — after platform fees</t>
        </is>
      </c>
    </row>
    <row r="11">
      <c r="A11" s="65" t="inlineStr">
        <is>
          <t>Revenue concentration</t>
        </is>
      </c>
      <c r="B11" s="68" t="n">
        <v>0.76</v>
      </c>
      <c r="C11" s="67" t="inlineStr">
        <is>
          <t>share to top 0.1%</t>
        </is>
      </c>
      <c r="D11" s="67" t="inlineStr">
        <is>
          <t>OnlyFans</t>
        </is>
      </c>
      <c r="E11" s="67" t="inlineStr">
        <is>
          <t>2025</t>
        </is>
      </c>
      <c r="F11" s="67" t="inlineStr">
        <is>
          <t>ElectroIQ — power-law distribution</t>
        </is>
      </c>
    </row>
    <row r="12">
      <c r="A12" s="65" t="inlineStr">
        <is>
          <t>Creators with &gt;=1 paying member</t>
        </is>
      </c>
      <c r="B12" s="66" t="n">
        <v>286287</v>
      </c>
      <c r="C12" s="67" t="inlineStr">
        <is>
          <t>count</t>
        </is>
      </c>
      <c r="D12" s="67" t="inlineStr">
        <is>
          <t>Patreon</t>
        </is>
      </c>
      <c r="E12" s="67" t="inlineStr">
        <is>
          <t>Feb 2026</t>
        </is>
      </c>
      <c r="F12" s="67" t="inlineStr">
        <is>
          <t>Graphtreon</t>
        </is>
      </c>
    </row>
    <row r="13">
      <c r="A13" s="65" t="inlineStr">
        <is>
          <t>Active creators</t>
        </is>
      </c>
      <c r="B13" s="66" t="n">
        <v>300000</v>
      </c>
      <c r="C13" s="67" t="inlineStr">
        <is>
          <t>count</t>
        </is>
      </c>
      <c r="D13" s="67" t="inlineStr">
        <is>
          <t>Patreon</t>
        </is>
      </c>
      <c r="E13" s="67" t="inlineStr">
        <is>
          <t>2025</t>
        </is>
      </c>
      <c r="F13" s="67" t="inlineStr">
        <is>
          <t>Jack Conte, Patreon</t>
        </is>
      </c>
    </row>
    <row r="14">
      <c r="A14" s="65" t="inlineStr">
        <is>
          <t>Active paying members</t>
        </is>
      </c>
      <c r="B14" s="66" t="n">
        <v>10000000</v>
      </c>
      <c r="C14" s="67" t="inlineStr">
        <is>
          <t>count</t>
        </is>
      </c>
      <c r="D14" s="67" t="inlineStr">
        <is>
          <t>Patreon</t>
        </is>
      </c>
      <c r="E14" s="67" t="inlineStr">
        <is>
          <t>2026</t>
        </is>
      </c>
      <c r="F14" s="67" t="inlineStr">
        <is>
          <t>Patreon / Backlinko</t>
        </is>
      </c>
    </row>
    <row r="15">
      <c r="A15" s="65" t="inlineStr">
        <is>
          <t>Paid to creators annually</t>
        </is>
      </c>
      <c r="B15" s="66" t="n">
        <v>2000000000</v>
      </c>
      <c r="C15" s="67" t="inlineStr">
        <is>
          <t>USD/year</t>
        </is>
      </c>
      <c r="D15" s="67" t="inlineStr">
        <is>
          <t>Patreon</t>
        </is>
      </c>
      <c r="E15" s="67" t="inlineStr">
        <is>
          <t>2026</t>
        </is>
      </c>
      <c r="F15" s="67" t="inlineStr">
        <is>
          <t>Patreon / Backlinko</t>
        </is>
      </c>
    </row>
    <row r="16">
      <c r="A16" s="65" t="inlineStr">
        <is>
          <t>Average monthly support per member</t>
        </is>
      </c>
      <c r="B16" s="68" t="n">
        <v>6.1</v>
      </c>
      <c r="C16" s="67" t="inlineStr">
        <is>
          <t>USD/month</t>
        </is>
      </c>
      <c r="D16" s="67" t="inlineStr">
        <is>
          <t>Patreon</t>
        </is>
      </c>
      <c r="E16" s="67" t="inlineStr">
        <is>
          <t>Aug 2024</t>
        </is>
      </c>
      <c r="F16" s="67" t="inlineStr">
        <is>
          <t>Patreon 2024 Transparency Report; audit of ~1,200 creators</t>
        </is>
      </c>
    </row>
    <row r="17">
      <c r="A17" s="65" t="inlineStr">
        <is>
          <t>Typical patronage band (low)</t>
        </is>
      </c>
      <c r="B17" s="68" t="n">
        <v>8</v>
      </c>
      <c r="C17" s="67" t="inlineStr">
        <is>
          <t>USD/month</t>
        </is>
      </c>
      <c r="D17" s="67" t="inlineStr">
        <is>
          <t>Patreon</t>
        </is>
      </c>
      <c r="E17" s="67" t="inlineStr">
        <is>
          <t>2026</t>
        </is>
      </c>
      <c r="F17" s="67" t="inlineStr">
        <is>
          <t>Creator-economy benchmarks</t>
        </is>
      </c>
    </row>
    <row r="18">
      <c r="A18" s="65" t="inlineStr">
        <is>
          <t>Typical patronage band (high)</t>
        </is>
      </c>
      <c r="B18" s="68" t="n">
        <v>12</v>
      </c>
      <c r="C18" s="67" t="inlineStr">
        <is>
          <t>USD/month</t>
        </is>
      </c>
      <c r="D18" s="67" t="inlineStr">
        <is>
          <t>Patreon</t>
        </is>
      </c>
      <c r="E18" s="67" t="inlineStr">
        <is>
          <t>2026</t>
        </is>
      </c>
      <c r="F18" s="67" t="inlineStr">
        <is>
          <t>Creator-economy benchmarks</t>
        </is>
      </c>
    </row>
    <row r="19">
      <c r="A19" s="65" t="inlineStr">
        <is>
          <t>Monthly churn (low)</t>
        </is>
      </c>
      <c r="B19" s="68" t="n">
        <v>0.1</v>
      </c>
      <c r="C19" s="67" t="inlineStr">
        <is>
          <t>share</t>
        </is>
      </c>
      <c r="D19" s="67" t="inlineStr">
        <is>
          <t>Patreon</t>
        </is>
      </c>
      <c r="E19" s="67" t="inlineStr">
        <is>
          <t>2024</t>
        </is>
      </c>
      <c r="F19" s="67" t="inlineStr">
        <is>
          <t>Patreon 2024 Transparency Report</t>
        </is>
      </c>
    </row>
    <row r="20">
      <c r="A20" s="65" t="inlineStr">
        <is>
          <t>Monthly churn (high)</t>
        </is>
      </c>
      <c r="B20" s="68" t="n">
        <v>0.15</v>
      </c>
      <c r="C20" s="67" t="inlineStr">
        <is>
          <t>share</t>
        </is>
      </c>
      <c r="D20" s="67" t="inlineStr">
        <is>
          <t>Patreon</t>
        </is>
      </c>
      <c r="E20" s="67" t="inlineStr">
        <is>
          <t>2024</t>
        </is>
      </c>
      <c r="F20" s="67" t="inlineStr">
        <is>
          <t>Patreon 2024 Transparency Report</t>
        </is>
      </c>
    </row>
    <row r="21">
      <c r="A21" s="65" t="inlineStr">
        <is>
          <t>Annual-plan churn multiplier</t>
        </is>
      </c>
      <c r="B21" s="68" t="n">
        <v>0.333</v>
      </c>
      <c r="C21" s="67" t="inlineStr">
        <is>
          <t>x monthly churn</t>
        </is>
      </c>
      <c r="D21" s="67" t="inlineStr">
        <is>
          <t>Patreon</t>
        </is>
      </c>
      <c r="E21" s="67" t="inlineStr">
        <is>
          <t>2024</t>
        </is>
      </c>
      <c r="F21" s="67" t="inlineStr">
        <is>
          <t>Patreon 2024 Transparency Report — annual patrons churn at 1/3 the rate</t>
        </is>
      </c>
    </row>
    <row r="22">
      <c r="A22" s="65" t="inlineStr">
        <is>
          <t>Creators with &gt;2,000 patrons</t>
        </is>
      </c>
      <c r="B22" s="68" t="n">
        <v>0.003</v>
      </c>
      <c r="C22" s="67" t="inlineStr">
        <is>
          <t>share</t>
        </is>
      </c>
      <c r="D22" s="67" t="inlineStr">
        <is>
          <t>Patreon</t>
        </is>
      </c>
      <c r="E22" s="67" t="inlineStr">
        <is>
          <t>2026</t>
        </is>
      </c>
      <c r="F22" s="67" t="inlineStr">
        <is>
          <t>Graphtreon — power-law distribution</t>
        </is>
      </c>
    </row>
    <row r="23">
      <c r="A23" s="65" t="inlineStr">
        <is>
          <t>Division I athletes in network</t>
        </is>
      </c>
      <c r="B23" s="66" t="n">
        <v>45000</v>
      </c>
      <c r="C23" s="67" t="inlineStr">
        <is>
          <t>count</t>
        </is>
      </c>
      <c r="D23" s="67" t="inlineStr">
        <is>
          <t>TEKTA</t>
        </is>
      </c>
      <c r="E23" s="67" t="inlineStr">
        <is>
          <t>Aug 2026</t>
        </is>
      </c>
      <c r="F23" s="67" t="inlineStr">
        <is>
          <t>Publicis Groupe press release, 19 Aug 2026</t>
        </is>
      </c>
    </row>
    <row r="24">
      <c r="A24" s="65" t="inlineStr">
        <is>
          <t>Power Four universities</t>
        </is>
      </c>
      <c r="B24" s="66" t="n">
        <v>68</v>
      </c>
      <c r="C24" s="67" t="inlineStr">
        <is>
          <t>count</t>
        </is>
      </c>
      <c r="D24" s="67" t="inlineStr">
        <is>
          <t>TEKTA</t>
        </is>
      </c>
      <c r="E24" s="67" t="inlineStr">
        <is>
          <t>Aug 2026</t>
        </is>
      </c>
      <c r="F24" s="67" t="inlineStr">
        <is>
          <t>Publicis Groupe press release</t>
        </is>
      </c>
    </row>
    <row r="25">
      <c r="A25" s="65" t="inlineStr">
        <is>
          <t>Claimed speed-to-market gain</t>
        </is>
      </c>
      <c r="B25" s="68" t="n">
        <v>0.6</v>
      </c>
      <c r="C25" s="67" t="inlineStr">
        <is>
          <t>share faster</t>
        </is>
      </c>
      <c r="D25" s="67" t="inlineStr">
        <is>
          <t>TEKTA</t>
        </is>
      </c>
      <c r="E25" s="67" t="inlineStr">
        <is>
          <t>Aug 2026</t>
        </is>
      </c>
      <c r="F25" s="67" t="inlineStr">
        <is>
          <t>Publicis — stated 50-70% vs a traditional agency process</t>
        </is>
      </c>
    </row>
    <row r="27">
      <c r="A27" s="69"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0" t="n">
        <v>0.2</v>
      </c>
      <c r="C29" s="71" t="n">
        <v>0</v>
      </c>
      <c r="D29" s="71" t="n">
        <v>0</v>
      </c>
      <c r="F29" s="72" t="inlineStr">
        <is>
          <t>Derived: 1.41bn / 7.22bn = 19.5% (filed accounts)</t>
        </is>
      </c>
    </row>
    <row r="30">
      <c r="A30" s="2" t="inlineStr">
        <is>
          <t>Fansly</t>
        </is>
      </c>
      <c r="B30" s="70" t="n">
        <v>0.2</v>
      </c>
      <c r="C30" s="71" t="n">
        <v>0</v>
      </c>
      <c r="D30" s="71" t="n">
        <v>0</v>
      </c>
      <c r="F30" s="72" t="inlineStr">
        <is>
          <t>Not published in terms; widely reported</t>
        </is>
      </c>
    </row>
    <row r="31">
      <c r="A31" s="2" t="inlineStr">
        <is>
          <t>Fanfix</t>
        </is>
      </c>
      <c r="B31" s="70" t="n">
        <v>0.2</v>
      </c>
      <c r="C31" s="71" t="n">
        <v>0</v>
      </c>
      <c r="D31" s="71" t="n">
        <v>0</v>
      </c>
      <c r="F31" s="72" t="inlineStr">
        <is>
          <t>Not published in terms; widely reported</t>
        </is>
      </c>
    </row>
    <row r="32">
      <c r="A32" s="2" t="inlineStr">
        <is>
          <t>Patreon</t>
        </is>
      </c>
      <c r="B32" s="70" t="n">
        <v>0.1</v>
      </c>
      <c r="C32" s="71" t="n">
        <v>0</v>
      </c>
      <c r="D32" s="71" t="n">
        <v>0</v>
      </c>
      <c r="F32" s="72" t="inlineStr">
        <is>
          <t>Published: 10% all-in, processing included</t>
        </is>
      </c>
    </row>
    <row r="33">
      <c r="A33" s="2" t="inlineStr">
        <is>
          <t>Passes</t>
        </is>
      </c>
      <c r="B33" s="70" t="n">
        <v>0.1</v>
      </c>
      <c r="C33" s="71" t="n">
        <v>0.3</v>
      </c>
      <c r="D33" s="71" t="n">
        <v>29</v>
      </c>
      <c r="F33" s="72" t="inlineStr">
        <is>
          <t>Sacra; Passes rebrand release Apr 2026</t>
        </is>
      </c>
    </row>
    <row r="34">
      <c r="A34" s="2" t="inlineStr">
        <is>
          <t>Stride (proposed)</t>
        </is>
      </c>
      <c r="B34" s="70" t="n">
        <v>0.15</v>
      </c>
      <c r="C34" s="71" t="n">
        <v>0</v>
      </c>
      <c r="D34" s="71" t="n">
        <v>0</v>
      </c>
      <c r="F34" s="72" t="inlineStr">
        <is>
          <t>Our decision — see MarketModel</t>
        </is>
      </c>
    </row>
    <row r="36">
      <c r="A36" s="69" t="inlineStr">
        <is>
          <t>INTERMEDIARIES the athlete already pays</t>
        </is>
      </c>
    </row>
    <row r="37">
      <c r="A37" s="13" t="inlineStr">
        <is>
          <t>Sports agent — endorsement</t>
        </is>
      </c>
      <c r="B37" s="70" t="n">
        <v>0.1</v>
      </c>
      <c r="C37" s="70" t="n">
        <v>0.2</v>
      </c>
      <c r="F37" s="72" t="inlineStr">
        <is>
          <t>Unregulated; widely reported, no primary source</t>
        </is>
      </c>
    </row>
    <row r="38">
      <c r="A38" s="13" t="inlineStr">
        <is>
          <t>Sports agent — playing contract</t>
        </is>
      </c>
      <c r="B38" s="70" t="n">
        <v>0.02</v>
      </c>
      <c r="C38" s="70" t="n">
        <v>0.05</v>
      </c>
      <c r="F38" s="72" t="inlineStr">
        <is>
          <t>NBPA reg. 4.B (Sept 2025); FIFA FFAR art. 15</t>
        </is>
      </c>
    </row>
    <row r="39">
      <c r="A39" s="13" t="inlineStr">
        <is>
          <t>OnlyFans management agency</t>
        </is>
      </c>
      <c r="B39" s="70" t="n">
        <v>0.2</v>
      </c>
      <c r="C39" s="70" t="n">
        <v>0.5</v>
      </c>
      <c r="F39" s="72" t="inlineStr">
        <is>
          <t>Aruna Talent rate guide 2026 — on top of the 20%</t>
        </is>
      </c>
    </row>
    <row r="42">
      <c r="A42" s="2" t="inlineStr">
        <is>
          <t>SOURCES</t>
        </is>
      </c>
    </row>
    <row r="43">
      <c r="A43" s="73" t="inlineStr">
        <is>
          <t>OnlyFans FY2024 filed accounts (Fenix International Ltd)</t>
        </is>
      </c>
      <c r="B43" s="74" t="inlineStr">
        <is>
          <t>https://find-and-update.company-information.service.gov.uk/company/10354575/filing-history</t>
        </is>
      </c>
    </row>
    <row r="44">
      <c r="A44" s="73" t="inlineStr">
        <is>
          <t>OnlyFans FY2024 as reported</t>
        </is>
      </c>
      <c r="B44" s="74" t="inlineStr">
        <is>
          <t>https://variety.com/2025/digital/news/onlyfans-fiscal-2024-revenue-earnings-1236495750/</t>
        </is>
      </c>
    </row>
    <row r="45">
      <c r="A45" s="73" t="inlineStr">
        <is>
          <t>Patreon published take rate</t>
        </is>
      </c>
      <c r="B45" s="74" t="inlineStr">
        <is>
          <t>https://www.patreon.com/pricing</t>
        </is>
      </c>
    </row>
    <row r="46">
      <c r="A46" s="73" t="inlineStr">
        <is>
          <t>Patreon creators</t>
        </is>
      </c>
      <c r="B46" s="74" t="inlineStr">
        <is>
          <t>https://backlinko.com/patreon-users</t>
        </is>
      </c>
    </row>
    <row r="47">
      <c r="A47" s="73" t="inlineStr">
        <is>
          <t>Passes economics</t>
        </is>
      </c>
      <c r="B47" s="74" t="inlineStr">
        <is>
          <t>https://sacra.com/c/passes/</t>
        </is>
      </c>
    </row>
    <row r="48">
      <c r="A48" s="73" t="inlineStr">
        <is>
          <t>Fanfix creator terms (states no take rate)</t>
        </is>
      </c>
      <c r="B48" s="74" t="inlineStr">
        <is>
          <t>https://auth.fanfix.io/creator-terms-of-use</t>
        </is>
      </c>
    </row>
    <row r="49">
      <c r="A49" s="73" t="inlineStr">
        <is>
          <t>Agency commissions</t>
        </is>
      </c>
      <c r="B49" s="74" t="inlineStr">
        <is>
          <t>https://arunatalent.com/blog/onlyfans-agency-commission-rates/</t>
        </is>
      </c>
    </row>
    <row r="50">
      <c r="A50" s="73" t="inlineStr">
        <is>
          <t>NBPA agent fee cap (amended Sept 2025)</t>
        </is>
      </c>
      <c r="B50" s="74" t="inlineStr">
        <is>
          <t>https://imgix.cosmicjs.com/cd844850-97c7-11f0-91fa-d9e1671c2776-NBPA-REGULATIONS-GOVERNING-PLAYER-AGENTS-09-2025.pdf</t>
        </is>
      </c>
    </row>
    <row r="51">
      <c r="A51" s="73" t="inlineStr">
        <is>
          <t>FIFA Football Agent Regulations art. 15</t>
        </is>
      </c>
      <c r="B51" s="74" t="inlineStr">
        <is>
          <t>https://digitalhub.fifa.com/m/1e7b741fa0fae779/original/FIFA-Football-Agent-Regulations.pdf</t>
        </is>
      </c>
    </row>
    <row r="52">
      <c r="A52" s="73" t="inlineStr">
        <is>
          <t>CJEU upholds the FIFA fee cap (16 Jul 2026)</t>
        </is>
      </c>
      <c r="B52" s="74" t="inlineStr">
        <is>
          <t>https://inside.fifa.com/news/welcomes-court-of-justice-european-union-decision-football-agent-regulations</t>
        </is>
      </c>
    </row>
    <row r="53">
      <c r="A53" s="73" t="inlineStr">
        <is>
          <t>Eurobarometer 525</t>
        </is>
      </c>
      <c r="B53" s="74" t="inlineStr">
        <is>
          <t>https://europa.eu/eurobarometer/surveys/detail/2668</t>
        </is>
      </c>
    </row>
    <row r="54">
      <c r="A54" s="73" t="inlineStr">
        <is>
          <t>FIP World Padel Report 2025</t>
        </is>
      </c>
      <c r="B54" s="74" t="inlineStr">
        <is>
          <t>https://www.padelfip.com/2025/12/online-the-fip-world-padel-report-2025-a-comprehensive-analysis-of-a-sport-in-constant-growth/</t>
        </is>
      </c>
    </row>
    <row r="55">
      <c r="A55" s="73" t="inlineStr">
        <is>
          <t>Stripe EU pricing</t>
        </is>
      </c>
      <c r="B55" s="74" t="inlineStr">
        <is>
          <t>https://stripe.com/es/pricing</t>
        </is>
      </c>
    </row>
    <row r="56">
      <c r="A56" s="73" t="inlineStr">
        <is>
          <t>TEKTA launch</t>
        </is>
      </c>
      <c r="B56" s="74" t="inlineStr">
        <is>
          <t>https://www.publicisgroupe.com/en/news/press-releases/publicis-sports-and-travis-kelce-s-tekta-join-forces-to-reimagine-the-future-of-nil-marketing</t>
        </is>
      </c>
    </row>
    <row r="57">
      <c r="A57" s="73" t="inlineStr">
        <is>
          <t>Stripe Connect age</t>
        </is>
      </c>
      <c r="B57" s="74"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3"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5" t="inlineStr">
        <is>
          <t>Published</t>
        </is>
      </c>
    </row>
    <row r="7" ht="30" customHeight="1">
      <c r="A7" s="13" t="inlineStr">
        <is>
          <t>Patreon creators with &gt;=1 paying member</t>
        </is>
      </c>
      <c r="B7" s="17">
        <f>Comparables!B12</f>
        <v/>
      </c>
      <c r="D7" s="75" t="inlineStr">
        <is>
          <t>Published</t>
        </is>
      </c>
    </row>
    <row r="8" ht="30" customHeight="1">
      <c r="A8" s="13" t="inlineStr">
        <is>
          <t>Members per paying creator</t>
        </is>
      </c>
      <c r="B8" s="56">
        <f>B6/B7</f>
        <v/>
      </c>
      <c r="D8" s="75" t="inlineStr">
        <is>
          <t>The single most useful benchmark we found: it is measured, not modelled.</t>
        </is>
      </c>
    </row>
    <row r="9" ht="30" customHeight="1">
      <c r="A9" s="13" t="inlineStr">
        <is>
          <t>OnlyFans fan accounts per creator</t>
        </is>
      </c>
      <c r="B9" s="31">
        <f>Comparables!B9/Comparables!B8</f>
        <v/>
      </c>
      <c r="D9" s="75" t="inlineStr">
        <is>
          <t>Fan ACCOUNTS, not paying fans - most follow free. Shown as an upper bound only.</t>
        </is>
      </c>
    </row>
    <row r="10" ht="30" customHeight="1">
      <c r="A10" s="13" t="inlineStr">
        <is>
          <t>Niche adjustment</t>
        </is>
      </c>
      <c r="B10" s="24" t="n">
        <v>1.06</v>
      </c>
      <c r="D10" s="75" t="inlineStr">
        <is>
          <t>OUR JUDGEMENT: +6% on the Patreon benchmark. Sport audiences are smaller but convert better, because the fan usually does the sport themselves.</t>
        </is>
      </c>
    </row>
    <row r="11" ht="30" customHeight="1">
      <c r="A11" s="13" t="inlineStr">
        <is>
          <t>Popular adjustment</t>
        </is>
      </c>
      <c r="B11" s="24" t="n">
        <v>1.37</v>
      </c>
      <c r="D11" s="75" t="inlineStr">
        <is>
          <t>OUR JUDGEMENT: +37%. Much larger followings, much weaker conversion - more paying fans in absolute terms even though a smaller share converts.</t>
        </is>
      </c>
    </row>
    <row r="12" ht="15" customHeight="1">
      <c r="A12" s="2" t="inlineStr">
        <is>
          <t>→ Niche fans per athlete, mature</t>
        </is>
      </c>
      <c r="B12" s="76">
        <f>B8*B10</f>
        <v/>
      </c>
      <c r="D12" s="75" t="inlineStr"/>
    </row>
    <row r="13" ht="15" customHeight="1">
      <c r="A13" s="2" t="inlineStr">
        <is>
          <t>→ Popular fans per athlete, mature</t>
        </is>
      </c>
      <c r="B13" s="76">
        <f>B8*B11</f>
        <v/>
      </c>
      <c r="D13" s="75" t="inlineStr"/>
    </row>
    <row r="14">
      <c r="A14" s="11" t="inlineStr">
        <is>
          <t>2. FAN ARPU  -&gt; Assumptions</t>
        </is>
      </c>
      <c r="B14" s="12" t="n"/>
      <c r="C14" s="12" t="n"/>
      <c r="D14" s="12" t="n"/>
    </row>
    <row r="15" ht="15" customHeight="1">
      <c r="A15" s="13" t="inlineStr">
        <is>
          <t>Tier 1 price (Supporter)</t>
        </is>
      </c>
      <c r="B15" s="20" t="n">
        <v>4.99</v>
      </c>
      <c r="D15" s="75" t="inlineStr"/>
    </row>
    <row r="16" ht="15" customHeight="1">
      <c r="A16" s="13" t="inlineStr">
        <is>
          <t>Tier 2 price (Insider)</t>
        </is>
      </c>
      <c r="B16" s="20" t="n">
        <v>9.99</v>
      </c>
      <c r="D16" s="75" t="inlineStr"/>
    </row>
    <row r="17" ht="15" customHeight="1">
      <c r="A17" s="13" t="inlineStr">
        <is>
          <t>Tier 3 price (Inner circle)</t>
        </is>
      </c>
      <c r="B17" s="20" t="n">
        <v>24.99</v>
      </c>
      <c r="D17" s="75" t="inlineStr"/>
    </row>
    <row r="18" ht="30" customHeight="1">
      <c r="A18" s="13" t="inlineStr">
        <is>
          <t>Mix - Tier 1</t>
        </is>
      </c>
      <c r="B18" s="16" t="n">
        <v>0.4</v>
      </c>
      <c r="D18" s="75" t="inlineStr">
        <is>
          <t>Assumed distribution; replace with the real tier mix after P1.</t>
        </is>
      </c>
    </row>
    <row r="19" ht="15" customHeight="1">
      <c r="A19" s="13" t="inlineStr">
        <is>
          <t>Mix - Tier 2</t>
        </is>
      </c>
      <c r="B19" s="16" t="n">
        <v>0.5</v>
      </c>
      <c r="D19" s="75" t="inlineStr"/>
    </row>
    <row r="20" ht="15" customHeight="1">
      <c r="A20" s="13" t="inlineStr">
        <is>
          <t>Mix - Tier 3</t>
        </is>
      </c>
      <c r="B20" s="16" t="n">
        <v>0.1</v>
      </c>
      <c r="D20" s="75" t="inlineStr"/>
    </row>
    <row r="21" ht="15" customHeight="1">
      <c r="A21" s="13" t="inlineStr">
        <is>
          <t>Mix check (must be 100%)</t>
        </is>
      </c>
      <c r="B21" s="46">
        <f>B18+B19+B20</f>
        <v/>
      </c>
      <c r="D21" s="75" t="inlineStr"/>
    </row>
    <row r="22" ht="30" customHeight="1">
      <c r="A22" s="2" t="inlineStr">
        <is>
          <t>→ Weighted ARPU per month</t>
        </is>
      </c>
      <c r="B22" s="77">
        <f>B15*B18+B16*B19+B17*B20</f>
        <v/>
      </c>
      <c r="D22" s="75"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5" t="inlineStr">
        <is>
          <t>Published average - below our figure because Patreon's long tail includes many $1-3 tiers. Our EUR 9.49 sits inside their $8-12 typical band.</t>
        </is>
      </c>
    </row>
    <row r="24" ht="30" customHeight="1">
      <c r="A24" s="13" t="inlineStr">
        <is>
          <t>Niche ARPU factor</t>
        </is>
      </c>
      <c r="B24" s="24" t="n">
        <v>1</v>
      </c>
      <c r="D24" s="75" t="inlineStr">
        <is>
          <t>Niche fans buy knowledge and sit at the tier mix above.</t>
        </is>
      </c>
    </row>
    <row r="25" ht="30" customHeight="1">
      <c r="A25" s="13" t="inlineStr">
        <is>
          <t>Popular ARPU factor</t>
        </is>
      </c>
      <c r="B25" s="24" t="n">
        <v>0.87</v>
      </c>
      <c r="D25" s="75" t="inlineStr">
        <is>
          <t>OUR JUDGEMENT: -13%. Popular-sport fans skew to the cheapest tier.</t>
        </is>
      </c>
    </row>
    <row r="26" ht="15" customHeight="1">
      <c r="A26" s="2" t="inlineStr">
        <is>
          <t>→ Niche ARPU, mature</t>
        </is>
      </c>
      <c r="B26" s="77">
        <f>B22*B24</f>
        <v/>
      </c>
      <c r="D26" s="75" t="inlineStr"/>
    </row>
    <row r="27" ht="15" customHeight="1">
      <c r="A27" s="2" t="inlineStr">
        <is>
          <t>→ Popular ARPU, mature</t>
        </is>
      </c>
      <c r="B27" s="77">
        <f>B22*B25</f>
        <v/>
      </c>
      <c r="D27" s="75" t="inlineStr"/>
    </row>
    <row r="28">
      <c r="A28" s="11" t="inlineStr">
        <is>
          <t>3. FAN CHURN  -&gt; Assumptions</t>
        </is>
      </c>
      <c r="B28" s="12" t="n"/>
      <c r="C28" s="12" t="n"/>
      <c r="D28" s="12" t="n"/>
    </row>
    <row r="29" ht="15" customHeight="1">
      <c r="A29" s="13" t="inlineStr">
        <is>
          <t>Patreon monthly churn (low)</t>
        </is>
      </c>
      <c r="B29" s="23">
        <f>Comparables!B19</f>
        <v/>
      </c>
      <c r="D29" s="75" t="inlineStr"/>
    </row>
    <row r="30" ht="15" customHeight="1">
      <c r="A30" s="13" t="inlineStr">
        <is>
          <t>Patreon monthly churn (high)</t>
        </is>
      </c>
      <c r="B30" s="23">
        <f>Comparables!B20</f>
        <v/>
      </c>
      <c r="D30" s="75" t="inlineStr"/>
    </row>
    <row r="31" ht="15" customHeight="1">
      <c r="A31" s="13" t="inlineStr">
        <is>
          <t>Benchmark midpoint</t>
        </is>
      </c>
      <c r="B31" s="46">
        <f>(B29+B30)/2</f>
        <v/>
      </c>
      <c r="D31" s="75" t="inlineStr"/>
    </row>
    <row r="32" ht="30" customHeight="1">
      <c r="A32" s="13" t="inlineStr">
        <is>
          <t>Annual-plan churn multiplier</t>
        </is>
      </c>
      <c r="B32" s="33">
        <f>Comparables!B21</f>
        <v/>
      </c>
      <c r="D32" s="75" t="inlineStr">
        <is>
          <t>Patreon: annual patrons churn at one third the monthly rate.</t>
        </is>
      </c>
    </row>
    <row r="33" ht="30" customHeight="1">
      <c r="A33" s="13" t="inlineStr">
        <is>
          <t>Share of subscribers on annual plans</t>
        </is>
      </c>
      <c r="B33" s="16" t="n">
        <v>0.3</v>
      </c>
      <c r="D33" s="75" t="inlineStr">
        <is>
          <t>Our target for the season pass. This is the one lever that improves churn without changing the product.</t>
        </is>
      </c>
    </row>
    <row r="34" ht="30" customHeight="1">
      <c r="A34" s="13" t="inlineStr">
        <is>
          <t>Blended benchmark churn</t>
        </is>
      </c>
      <c r="B34" s="46">
        <f>B31*(1-B33)+B31*B32*B33</f>
        <v/>
      </c>
      <c r="D34" s="75" t="inlineStr">
        <is>
          <t>What a Patreon-like platform would see with our annual mix.</t>
        </is>
      </c>
    </row>
    <row r="35" ht="30" customHeight="1">
      <c r="A35" s="13" t="inlineStr">
        <is>
          <t>Niche engagement factor</t>
        </is>
      </c>
      <c r="B35" s="24" t="n">
        <v>0.55</v>
      </c>
      <c r="D35" s="75"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5" t="inlineStr">
        <is>
          <t>OUR JUDGEMENT: 15% better than benchmark. Impulse follows after a result, with many free substitutes - but still a sport fan rather than a general creator audience.</t>
        </is>
      </c>
    </row>
    <row r="37" ht="15" customHeight="1">
      <c r="A37" s="2" t="inlineStr">
        <is>
          <t>→ Niche churn, mature</t>
        </is>
      </c>
      <c r="B37" s="78">
        <f>B34*B35</f>
        <v/>
      </c>
      <c r="D37" s="75" t="inlineStr"/>
    </row>
    <row r="38" ht="15" customHeight="1">
      <c r="A38" s="2" t="inlineStr">
        <is>
          <t>→ Popular churn, mature</t>
        </is>
      </c>
      <c r="B38" s="78">
        <f>B34*B36</f>
        <v/>
      </c>
      <c r="D38" s="75"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5" t="inlineStr">
        <is>
          <t>Includes dormant accounts, so this is a floor.</t>
        </is>
      </c>
    </row>
    <row r="41" ht="30" customHeight="1">
      <c r="A41" s="13" t="inlineStr">
        <is>
          <t>Patreon: paid to creators / paying creators</t>
        </is>
      </c>
      <c r="B41" s="29">
        <f>Comparables!B15/Comparables!B12/12</f>
        <v/>
      </c>
      <c r="D41" s="75" t="inlineStr">
        <is>
          <t>Denominator is creators WITH members, so this is a ceiling.</t>
        </is>
      </c>
    </row>
    <row r="42" ht="30" customHeight="1">
      <c r="A42" s="2" t="inlineStr">
        <is>
          <t>Stride: modelled niche athlete, mature</t>
        </is>
      </c>
      <c r="B42" s="77">
        <f>B12*B22*(1-Assumptions!$C$40)</f>
        <v/>
      </c>
      <c r="D42" s="75" t="inlineStr">
        <is>
          <t>Ours sits between the two, which is where a plausible figure should sit.</t>
        </is>
      </c>
    </row>
    <row r="43" ht="30" customHeight="1">
      <c r="A43" s="13" t="inlineStr">
        <is>
          <t>Revenue share taken by top 0.1% (OnlyFans)</t>
        </is>
      </c>
      <c r="B43" s="23">
        <f>Comparables!B11</f>
        <v/>
      </c>
      <c r="D43" s="75"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5" t="inlineStr">
        <is>
          <t>Comparables are published in USD; this model is in EUR. Applied to the per-transaction and monthly creator fees below.</t>
        </is>
      </c>
    </row>
    <row r="46" ht="30" customHeight="1">
      <c r="A46" s="13" t="inlineStr">
        <is>
          <t>Athlete monthly fan revenue (test case)</t>
        </is>
      </c>
      <c r="B46" s="20" t="n">
        <v>300</v>
      </c>
      <c r="D46" s="75" t="inlineStr">
        <is>
          <t>Change this to see who is cheapest at any revenue level.</t>
        </is>
      </c>
    </row>
    <row r="47" ht="30" customHeight="1">
      <c r="A47" s="13" t="inlineStr">
        <is>
          <t xml:space="preserve">  OnlyFans - athlete keeps</t>
        </is>
      </c>
      <c r="B47" s="29">
        <f>B46*(1-Comparables!B29)-B46/Assumptions!$C$48*Comparables!C29*B45-Comparables!D29*B45</f>
        <v/>
      </c>
      <c r="D47" s="75"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5"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5"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5"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5"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9" t="n">
        <v>2726.2</v>
      </c>
      <c r="D53" s="75" t="inlineStr">
        <is>
          <t>Millions. Eurostat / national statistics offices.</t>
        </is>
      </c>
    </row>
    <row r="54" ht="30" customHeight="1">
      <c r="A54" s="13" t="inlineStr">
        <is>
          <t>Population, Spain</t>
        </is>
      </c>
      <c r="B54" s="79" t="n">
        <v>48.6</v>
      </c>
      <c r="D54" s="75" t="inlineStr">
        <is>
          <t>Millions.</t>
        </is>
      </c>
    </row>
    <row r="55" ht="30" customHeight="1">
      <c r="A55" s="13" t="inlineStr">
        <is>
          <t>Share who do any sport (Spain)</t>
        </is>
      </c>
      <c r="B55" s="16" t="n">
        <v>0.5600000000000001</v>
      </c>
      <c r="D55" s="75" t="inlineStr">
        <is>
          <t>Eurobarometer 525 - Spain sits near the EU average of 55% who exercise at all.</t>
        </is>
      </c>
    </row>
    <row r="56" ht="30" customHeight="1">
      <c r="A56" s="13" t="inlineStr">
        <is>
          <t>Share with a public athletic identity</t>
        </is>
      </c>
      <c r="B56" s="16" t="n">
        <v>0.02</v>
      </c>
      <c r="D56" s="75" t="inlineStr">
        <is>
          <t>OUR ESTIMATE: competes, posts publicly, has a following worth sponsoring.</t>
        </is>
      </c>
    </row>
    <row r="57" ht="30" customHeight="1">
      <c r="A57" s="13" t="inlineStr">
        <is>
          <t>Share with commercial intent</t>
        </is>
      </c>
      <c r="B57" s="16" t="n">
        <v>0.25</v>
      </c>
      <c r="D57" s="75" t="inlineStr">
        <is>
          <t>OUR ESTIMATE: would monetise if the tooling existed.</t>
        </is>
      </c>
    </row>
    <row r="58" ht="15" customHeight="1">
      <c r="A58" s="2" t="inlineStr">
        <is>
          <t>→ Addressable athletes, Spain</t>
        </is>
      </c>
      <c r="B58" s="80">
        <f>B54*1000000*B55*B56*B57</f>
        <v/>
      </c>
      <c r="D58" s="75" t="inlineStr"/>
    </row>
    <row r="59" ht="30" customHeight="1">
      <c r="A59" s="2" t="inlineStr">
        <is>
          <t>→ Addressable athletes, all 34 countries</t>
        </is>
      </c>
      <c r="B59" s="80">
        <f>B53*1000000*0.5*B56*B57</f>
        <v/>
      </c>
      <c r="D59" s="75" t="inlineStr">
        <is>
          <t>Using a 50% blended participation rate across the 34 countries.</t>
        </is>
      </c>
    </row>
    <row r="60" ht="15" customHeight="1">
      <c r="A60" s="13" t="inlineStr">
        <is>
          <t>Y10 athletes in the plan</t>
        </is>
      </c>
      <c r="B60" s="38">
        <f>Assumptions!$L$5</f>
        <v/>
      </c>
      <c r="D60" s="75" t="inlineStr"/>
    </row>
    <row r="61" ht="15" customHeight="1">
      <c r="A61" s="2" t="inlineStr">
        <is>
          <t>→ Y10 penetration of Spain SAM</t>
        </is>
      </c>
      <c r="B61" s="78">
        <f>Assumptions!$L$5/B58</f>
        <v/>
      </c>
      <c r="D61" s="75" t="inlineStr"/>
    </row>
    <row r="62" ht="30" customHeight="1">
      <c r="A62" s="2" t="inlineStr">
        <is>
          <t>→ Y10 penetration of full TAM</t>
        </is>
      </c>
      <c r="B62" s="78">
        <f>Assumptions!$L$5/B59</f>
        <v/>
      </c>
      <c r="D62" s="75"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3" t="inlineStr">
        <is>
          <t>SOURCED = published figure | BENCHMARKED = set against named comparables | DERIVED = computed from other assumptions | ESTIMATE = judgement, no benchmark yet</t>
        </is>
      </c>
    </row>
    <row r="4">
      <c r="A4" s="81" t="inlineStr">
        <is>
          <t>Assumption</t>
        </is>
      </c>
      <c r="B4" s="81" t="inlineStr">
        <is>
          <t>Model value</t>
        </is>
      </c>
      <c r="C4" s="81" t="inlineStr">
        <is>
          <t>Method</t>
        </is>
      </c>
      <c r="D4" s="81" t="inlineStr">
        <is>
          <t>Benchmark / comparable</t>
        </is>
      </c>
      <c r="E4" s="81" t="inlineStr">
        <is>
          <t>Source</t>
        </is>
      </c>
      <c r="F4" s="81" t="inlineStr">
        <is>
          <t>Confidence</t>
        </is>
      </c>
      <c r="G4" s="81" t="inlineStr">
        <is>
          <t>What would replace the estimate</t>
        </is>
      </c>
    </row>
    <row r="5">
      <c r="A5" s="11" t="inlineStr">
        <is>
          <t>— PRICING &amp; TAKE RATE —</t>
        </is>
      </c>
      <c r="B5" s="12" t="n"/>
      <c r="C5" s="12" t="n"/>
      <c r="D5" s="12" t="n"/>
      <c r="E5" s="12" t="n"/>
      <c r="F5" s="12" t="n"/>
      <c r="G5" s="12" t="n"/>
    </row>
    <row r="6" ht="58" customHeight="1">
      <c r="A6" s="82" t="inlineStr">
        <is>
          <t>Take rate on fan revenue</t>
        </is>
      </c>
      <c r="B6" s="33">
        <f>Assumptions!$C$40</f>
        <v/>
      </c>
      <c r="C6" s="83" t="inlineStr">
        <is>
          <t>BENCHMARKED</t>
        </is>
      </c>
      <c r="D6" s="84" t="inlineStr">
        <is>
          <t>Passes charges 10% but adds $0.30/txn and a $29/month creator fee; OnlyFans, Fansly and Fanfix are all 20%; Patreon 8-12%. A flat 15% with no monthly fee pays an athlete more than Passes for anyone under EUR 1,380/month of fan revenue.</t>
        </is>
      </c>
      <c r="E6" s="84" t="inlineStr">
        <is>
          <t>Sacra company profile (Passes); Passes rebrand release, Apr 2026; MEXC platform comparison 2026</t>
        </is>
      </c>
      <c r="F6" s="85" t="inlineStr">
        <is>
          <t>High</t>
        </is>
      </c>
      <c r="G6" s="84" t="inlineStr">
        <is>
          <t>Nothing. This is a pricing decision and the comparables are public.</t>
        </is>
      </c>
    </row>
    <row r="7" ht="58" customHeight="1">
      <c r="A7" s="82" t="inlineStr">
        <is>
          <t>Take rate on sponsorship</t>
        </is>
      </c>
      <c r="B7" s="33">
        <f>Assumptions!$C$41</f>
        <v/>
      </c>
      <c r="C7" s="83" t="inlineStr">
        <is>
          <t>BENCHMARKED</t>
        </is>
      </c>
      <c r="D7" s="84" t="inlineStr">
        <is>
          <t>Sports agents take 10-20% of an endorsement and 4-10% of a playing contract. On OnlyFans, management agencies take a further 20-50% on top of the platform's 20%.</t>
        </is>
      </c>
      <c r="E7" s="84" t="inlineStr">
        <is>
          <t>Oreate and Sapling agent-commission surveys; Aruna Talent agency rate guide 2026</t>
        </is>
      </c>
      <c r="F7" s="85" t="inlineStr">
        <is>
          <t>High</t>
        </is>
      </c>
      <c r="G7" s="84" t="inlineStr">
        <is>
          <t>Observed deal data once the marketplace is running.</t>
        </is>
      </c>
    </row>
    <row r="8" ht="58" customHeight="1">
      <c r="A8" s="82" t="inlineStr">
        <is>
          <t>Suggested tiers 4.99 / 9.99 / 24.99</t>
        </is>
      </c>
      <c r="B8" s="86" t="inlineStr">
        <is>
          <t>see model</t>
        </is>
      </c>
      <c r="C8" s="83" t="inlineStr">
        <is>
          <t>BENCHMARKED</t>
        </is>
      </c>
      <c r="D8" s="84" t="inlineStr">
        <is>
          <t>Patreon's typical patronage is quoted at $8-12/month, so the EUR 9.99 anchor sits inside the observed band. EUR 4.99 retains only 54% of our take after payment fees, against 71% at EUR 9.99 — which is why the floor matters more than the take rate.</t>
        </is>
      </c>
      <c r="E8" s="84" t="inlineStr">
        <is>
          <t>Patreon 2024 Transparency Report; independent audits of ~1,200 creators</t>
        </is>
      </c>
      <c r="F8" s="87" t="inlineStr">
        <is>
          <t>Medium</t>
        </is>
      </c>
      <c r="G8" s="84" t="inlineStr">
        <is>
          <t>Our own tier mix after P1.</t>
        </is>
      </c>
    </row>
    <row r="9" ht="58" customHeight="1">
      <c r="A9" s="82" t="inlineStr">
        <is>
          <t>Season pass / annual billing</t>
        </is>
      </c>
      <c r="B9" s="86" t="inlineStr">
        <is>
          <t>see model</t>
        </is>
      </c>
      <c r="C9" s="88" t="inlineStr">
        <is>
          <t>SOURCED</t>
        </is>
      </c>
      <c r="D9" s="84" t="inlineStr">
        <is>
          <t>Patreon reports that annual patrons churn at ONE THIRD the rate of monthly patrons. This is the single strongest piece of evidence in the plan for pushing annual billing.</t>
        </is>
      </c>
      <c r="E9" s="84" t="inlineStr">
        <is>
          <t>Patreon 2024 Transparency Report</t>
        </is>
      </c>
      <c r="F9" s="85" t="inlineStr">
        <is>
          <t>High</t>
        </is>
      </c>
      <c r="G9" s="84" t="inlineStr">
        <is>
          <t>Already strong. Confirm on our own cohorts.</t>
        </is>
      </c>
    </row>
    <row r="10">
      <c r="A10" s="11" t="inlineStr">
        <is>
          <t>— FAN ECONOMICS —</t>
        </is>
      </c>
      <c r="B10" s="12" t="n"/>
      <c r="C10" s="12" t="n"/>
      <c r="D10" s="12" t="n"/>
      <c r="E10" s="12" t="n"/>
      <c r="F10" s="12" t="n"/>
      <c r="G10" s="12" t="n"/>
    </row>
    <row r="11" ht="58" customHeight="1">
      <c r="A11" s="82" t="inlineStr">
        <is>
          <t>Fan ARPU per month</t>
        </is>
      </c>
      <c r="B11" s="33">
        <f>Assumptions!$C$12</f>
        <v/>
      </c>
      <c r="C11" s="83" t="inlineStr">
        <is>
          <t>BENCHMARKED</t>
        </is>
      </c>
      <c r="D11" s="84" t="inlineStr">
        <is>
          <t>Patreon's average monthly support rose from $5.40 to $6.10 during 2024, with typical patronage quoted at $8-12. Our EUR 8.00-9.50 sits in the upper-middle of that range.</t>
        </is>
      </c>
      <c r="E11" s="84" t="inlineStr">
        <is>
          <t>Patreon 2024 Transparency Report</t>
        </is>
      </c>
      <c r="F11" s="87" t="inlineStr">
        <is>
          <t>Medium</t>
        </is>
      </c>
      <c r="G11" s="84" t="inlineStr">
        <is>
          <t>Actual ARPU by tier and sport after P1.</t>
        </is>
      </c>
    </row>
    <row r="12" ht="58" customHeight="1">
      <c r="A12" s="82" t="inlineStr">
        <is>
          <t>Fan churn per month</t>
        </is>
      </c>
      <c r="B12" s="33">
        <f>Assumptions!$C$13</f>
        <v/>
      </c>
      <c r="C12" s="89" t="inlineStr">
        <is>
          <t>ESTIMATE</t>
        </is>
      </c>
      <c r="D12" s="84" t="inlineStr">
        <is>
          <t>OPTIMISTIC AGAINST BENCHMARK. Patreon runs 10-15% monthly. We assume 6-9% (niche) and 9-13% (popular), arguing that training content is habitual and that competitive seasons create natural renewal moments. That argument is currently untested.</t>
        </is>
      </c>
      <c r="E12" s="84" t="inlineStr">
        <is>
          <t>Patreon 2024 Transparency Report (10-15%/month)</t>
        </is>
      </c>
      <c r="F12" s="90" t="inlineStr">
        <is>
          <t>Low</t>
        </is>
      </c>
      <c r="G12" s="84" t="inlineStr">
        <is>
          <t>THE most important number to measure in P1. Three months of real cohorts settles it. Until then the conservative case should be treated as the plan.</t>
        </is>
      </c>
    </row>
    <row r="13" ht="58" customHeight="1">
      <c r="A13" s="82" t="inlineStr">
        <is>
          <t>Paying fans per monetising athlete</t>
        </is>
      </c>
      <c r="B13" s="33">
        <f>Assumptions!$C$11</f>
        <v/>
      </c>
      <c r="C13" s="91" t="inlineStr">
        <is>
          <t>DERIVED</t>
        </is>
      </c>
      <c r="D13" s="84" t="inlineStr">
        <is>
          <t>20 rising to 48 over ten years. Cross-check: Patreon creators average $350/month and our modelled niche athlete at maturity earns about EUR 313/month — closely aligned, which is reassuring for an assumption built bottom-up rather than from a comparable.</t>
        </is>
      </c>
      <c r="E13" s="84" t="inlineStr">
        <is>
          <t>Patreon 2024 Transparency Report (creator average $350/month)</t>
        </is>
      </c>
      <c r="F13" s="87" t="inlineStr">
        <is>
          <t>Medium</t>
        </is>
      </c>
      <c r="G13" s="84" t="inlineStr">
        <is>
          <t>Observed fans per athlete, banded by follower count.</t>
        </is>
      </c>
    </row>
    <row r="14" ht="58" customHeight="1">
      <c r="A14" s="82" t="inlineStr">
        <is>
          <t>Share of athletes who monetise</t>
        </is>
      </c>
      <c r="B14" s="33">
        <f>Assumptions!$C$10</f>
        <v/>
      </c>
      <c r="C14" s="89" t="inlineStr">
        <is>
          <t>ESTIMATE</t>
        </is>
      </c>
      <c r="D14" s="84" t="inlineStr">
        <is>
          <t>28% rising to 50% for niche sports. No direct comparable exists — neither Patreon nor OnlyFans publishes activation rates for creators who sign up but never charge.</t>
        </is>
      </c>
      <c r="E14" s="84" t="inlineStr">
        <is>
          <t>None found</t>
        </is>
      </c>
      <c r="F14" s="90" t="inlineStr">
        <is>
          <t>Low</t>
        </is>
      </c>
      <c r="G14" s="84" t="inlineStr">
        <is>
          <t>Our own activation funnel, available from P1 onward.</t>
        </is>
      </c>
    </row>
    <row r="15" ht="58" customHeight="1">
      <c r="A15" s="82" t="inlineStr">
        <is>
          <t>Fan acquisition capacity</t>
        </is>
      </c>
      <c r="B15" s="86" t="inlineStr">
        <is>
          <t>see model</t>
        </is>
      </c>
      <c r="C15" s="89" t="inlineStr">
        <is>
          <t>ESTIMATE</t>
        </is>
      </c>
      <c r="D15" s="84" t="inlineStr">
        <is>
          <t>An athlete can recruit 30-69 new paying fans a year depending on segment. This ceiling is what makes churn bite in the model: without it, higher churn perversely RAISED revenue, because the year-end target was reachable at any churn rate.</t>
        </is>
      </c>
      <c r="E15" s="84" t="inlineStr">
        <is>
          <t>None — introduced to fix a modelling flaw found by stress testing</t>
        </is>
      </c>
      <c r="F15" s="90" t="inlineStr">
        <is>
          <t>Low</t>
        </is>
      </c>
      <c r="G15" s="84" t="inlineStr">
        <is>
          <t>Observed gross adds per athlete per year.</t>
        </is>
      </c>
    </row>
    <row r="16">
      <c r="A16" s="11" t="inlineStr">
        <is>
          <t>— PAYMENT RAILS —</t>
        </is>
      </c>
      <c r="B16" s="12" t="n"/>
      <c r="C16" s="12" t="n"/>
      <c r="D16" s="12" t="n"/>
      <c r="E16" s="12" t="n"/>
      <c r="F16" s="12" t="n"/>
      <c r="G16" s="12" t="n"/>
    </row>
    <row r="17" ht="58" customHeight="1">
      <c r="A17" s="82" t="inlineStr">
        <is>
          <t>PSP percentage fee</t>
        </is>
      </c>
      <c r="B17" s="33">
        <f>Assumptions!$C$44</f>
        <v/>
      </c>
      <c r="C17" s="88" t="inlineStr">
        <is>
          <t>SOURCED</t>
        </is>
      </c>
      <c r="D17" s="84"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4" t="inlineStr">
        <is>
          <t>Stripe published EU/EEA pricing, 2026</t>
        </is>
      </c>
      <c r="F17" s="85" t="inlineStr">
        <is>
          <t>High</t>
        </is>
      </c>
      <c r="G17" s="84" t="inlineStr">
        <is>
          <t>Interchange-plus terms become negotiable above roughly EUR 5M processed.</t>
        </is>
      </c>
    </row>
    <row r="18" ht="58" customHeight="1">
      <c r="A18" s="82" t="inlineStr">
        <is>
          <t>PSP fixed fee per transaction</t>
        </is>
      </c>
      <c r="B18" s="33">
        <f>Assumptions!$C$45</f>
        <v/>
      </c>
      <c r="C18" s="88" t="inlineStr">
        <is>
          <t>SOURCED</t>
        </is>
      </c>
      <c r="D18" s="84" t="inlineStr">
        <is>
          <t>EUR 0.25 per transaction. On a EUR 4.99 tier that single fee is a third of our take, which is why the tier floor and annual billing move more margin than the take rate does.</t>
        </is>
      </c>
      <c r="E18" s="84" t="inlineStr">
        <is>
          <t>Stripe published pricing, 2026</t>
        </is>
      </c>
      <c r="F18" s="85" t="inlineStr">
        <is>
          <t>High</t>
        </is>
      </c>
      <c r="G18" s="84" t="inlineStr">
        <is>
          <t>Volume renegotiation; annual billing turns twelve fees into one.</t>
        </is>
      </c>
    </row>
    <row r="19" ht="58" customHeight="1">
      <c r="A19" s="82" t="inlineStr">
        <is>
          <t>Payout fees</t>
        </is>
      </c>
      <c r="B19" s="33">
        <f>Assumptions!$C$46</f>
        <v/>
      </c>
      <c r="C19" s="88" t="inlineStr">
        <is>
          <t>SOURCED</t>
        </is>
      </c>
      <c r="D19" s="84" t="inlineStr">
        <is>
          <t>Stripe Connect Express: roughly 0.25% + EUR 0.25 per payout, plus a monthly active-account fee that is not modelled as a separate line.</t>
        </is>
      </c>
      <c r="E19" s="84" t="inlineStr">
        <is>
          <t>Stripe Connect pricing, 2026</t>
        </is>
      </c>
      <c r="F19" s="87" t="inlineStr">
        <is>
          <t>Medium</t>
        </is>
      </c>
      <c r="G19" s="84" t="inlineStr">
        <is>
          <t>Actual payout frequency once athletes are onboarded.</t>
        </is>
      </c>
    </row>
    <row r="20">
      <c r="A20" s="11" t="inlineStr">
        <is>
          <t>— MARKET SIZING —</t>
        </is>
      </c>
      <c r="B20" s="12" t="n"/>
      <c r="C20" s="12" t="n"/>
      <c r="D20" s="12" t="n"/>
      <c r="E20" s="12" t="n"/>
      <c r="F20" s="12" t="n"/>
      <c r="G20" s="12" t="n"/>
    </row>
    <row r="21" ht="58" customHeight="1">
      <c r="A21" s="82" t="inlineStr">
        <is>
          <t>Sport participation by country</t>
        </is>
      </c>
      <c r="B21" s="86" t="inlineStr">
        <is>
          <t>see model</t>
        </is>
      </c>
      <c r="C21" s="88" t="inlineStr">
        <is>
          <t>SOURCED</t>
        </is>
      </c>
      <c r="D21" s="84" t="inlineStr">
        <is>
          <t>Eurobarometer 525, share who NEVER exercise: Finland 8%, Sweden 12%, Denmark 20%, Poland 65%, Greece 68%, Portugal 73%, EU-27 average 45%. Six of the 34 countries in the index are measured; the other 28 are estimates placed inside that distribution.</t>
        </is>
      </c>
      <c r="E21" s="84" t="inlineStr">
        <is>
          <t>Special Eurobarometer 525, Sport and Physical Activity, September 2022</t>
        </is>
      </c>
      <c r="F21" s="85" t="inlineStr">
        <is>
          <t>High</t>
        </is>
      </c>
      <c r="G21" s="84" t="inlineStr">
        <is>
          <t>Federation licence counts — published annually and free (CSD in Spain).</t>
        </is>
      </c>
    </row>
    <row r="22" ht="58" customHeight="1">
      <c r="A22" s="82" t="inlineStr">
        <is>
          <t>Padel market size</t>
        </is>
      </c>
      <c r="B22" s="86" t="inlineStr">
        <is>
          <t>see model</t>
        </is>
      </c>
      <c r="C22" s="88" t="inlineStr">
        <is>
          <t>SOURCED</t>
        </is>
      </c>
      <c r="D22" s="84"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4" t="inlineStr">
        <is>
          <t>FIP World Padel Report 2025</t>
        </is>
      </c>
      <c r="F22" s="85" t="inlineStr">
        <is>
          <t>High</t>
        </is>
      </c>
      <c r="G22" s="84" t="inlineStr">
        <is>
          <t>Annual FIP refresh.</t>
        </is>
      </c>
    </row>
    <row r="23" ht="58" customHeight="1">
      <c r="A23" s="82" t="inlineStr">
        <is>
          <t>Sports fandom by country</t>
        </is>
      </c>
      <c r="B23" s="86" t="inlineStr">
        <is>
          <t>see model</t>
        </is>
      </c>
      <c r="C23" s="89" t="inlineStr">
        <is>
          <t>ESTIMATE</t>
        </is>
      </c>
      <c r="D23" s="84" t="inlineStr">
        <is>
          <t>The weakest layer of the sport index, and it drives both the `demand` and `appetite` signals. Commercial audience panels (Nielsen Sports, YouGov) cost more than the entire Y1-Y2 analytics budget.</t>
        </is>
      </c>
      <c r="E23" s="84" t="inlineStr">
        <is>
          <t>None — reasoned estimates only</t>
        </is>
      </c>
      <c r="F23" s="90" t="inlineStr">
        <is>
          <t>Low</t>
        </is>
      </c>
      <c r="G23" s="84" t="inlineStr">
        <is>
          <t>Our own engagement data per sport per country once connectors are live. This is what makes the index self-improving rather than something anyone could copy.</t>
        </is>
      </c>
    </row>
    <row r="24" ht="58" customHeight="1">
      <c r="A24" s="82" t="inlineStr">
        <is>
          <t>Athlete count trajectory</t>
        </is>
      </c>
      <c r="B24" s="33">
        <f>Assumptions!$C$5</f>
        <v/>
      </c>
      <c r="C24" s="89" t="inlineStr">
        <is>
          <t>ESTIMATE</t>
        </is>
      </c>
      <c r="D24" s="84" t="inlineStr">
        <is>
          <t>400 rising to 40,000 over ten years. This is the PLAN, not a benchmark: marketing spend is derived from it at segment CAC, not the other way round. Everything in the model scales off this line.</t>
        </is>
      </c>
      <c r="E24" s="84" t="inlineStr">
        <is>
          <t>None — it is a target</t>
        </is>
      </c>
      <c r="F24" s="90" t="inlineStr">
        <is>
          <t>Low</t>
        </is>
      </c>
      <c r="G24" s="84" t="inlineStr">
        <is>
          <t>The pre-seed gate tests it directly: 400 athletes and EUR 10k MRR.</t>
        </is>
      </c>
    </row>
    <row r="25">
      <c r="A25" s="11" t="inlineStr">
        <is>
          <t>— COSTS —</t>
        </is>
      </c>
      <c r="B25" s="12" t="n"/>
      <c r="C25" s="12" t="n"/>
      <c r="D25" s="12" t="n"/>
      <c r="E25" s="12" t="n"/>
      <c r="F25" s="12" t="n"/>
      <c r="G25" s="12" t="n"/>
    </row>
    <row r="26" ht="58" customHeight="1">
      <c r="A26" s="82" t="inlineStr">
        <is>
          <t>Athlete CAC</t>
        </is>
      </c>
      <c r="B26" s="33">
        <f>Assumptions!$C$19</f>
        <v/>
      </c>
      <c r="C26" s="89" t="inlineStr">
        <is>
          <t>ESTIMATE</t>
        </is>
      </c>
      <c r="D26" s="84" t="inlineStr">
        <is>
          <t>EUR 16-36 for niche, EUR 40-88 for popular. The gap reflects displacing an existing agent relationship versus reaching someone with no representation at all. No published comparable exists for athlete acquisition in this segment.</t>
        </is>
      </c>
      <c r="E26" s="84" t="inlineStr">
        <is>
          <t>None found</t>
        </is>
      </c>
      <c r="F26" s="90" t="inlineStr">
        <is>
          <t>Low</t>
        </is>
      </c>
      <c r="G26" s="84" t="inlineStr">
        <is>
          <t>Measured CAC by channel from the first federation partnership.</t>
        </is>
      </c>
    </row>
    <row r="27" ht="58" customHeight="1">
      <c r="A27" s="82" t="inlineStr">
        <is>
          <t>Admission rate, direct applicants</t>
        </is>
      </c>
      <c r="B27" s="33">
        <f>Assumptions!$C$76</f>
        <v/>
      </c>
      <c r="C27" s="91" t="inlineStr">
        <is>
          <t>DERIVED</t>
        </is>
      </c>
      <c r="D27" s="84"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4" t="inlineStr">
        <is>
          <t>scripts/admission_stress.py, section 7 — over a modelled applicant mix</t>
        </is>
      </c>
      <c r="F27" s="87" t="inlineStr">
        <is>
          <t>Medium</t>
        </is>
      </c>
      <c r="G27" s="84" t="inlineStr">
        <is>
          <t>Real intake data. The mix the sweep assumes is the soft part, not the arithmetic.</t>
        </is>
      </c>
    </row>
    <row r="28" ht="58" customHeight="1">
      <c r="A28" s="82" t="inlineStr">
        <is>
          <t>Admission rate, club-nominated</t>
        </is>
      </c>
      <c r="B28" s="33">
        <f>Assumptions!$C$78</f>
        <v/>
      </c>
      <c r="C28" s="89" t="inlineStr">
        <is>
          <t>ESTIMATE</t>
        </is>
      </c>
      <c r="D28" s="84"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4" t="inlineStr">
        <is>
          <t>None — the mechanism is built and tested, the conversion is not yet measured</t>
        </is>
      </c>
      <c r="F28" s="90" t="inlineStr">
        <is>
          <t>Low</t>
        </is>
      </c>
      <c r="G28" s="84" t="inlineStr">
        <is>
          <t>The first federation partnership: nominated applicants are tagged, so this is measurable from day one of it.</t>
        </is>
      </c>
    </row>
    <row r="29" ht="58" customHeight="1">
      <c r="A29" s="82" t="inlineStr">
        <is>
          <t>Athlete verification cost</t>
        </is>
      </c>
      <c r="B29" s="33">
        <f>Assumptions!$C$81</f>
        <v/>
      </c>
      <c r="C29" s="91" t="inlineStr">
        <is>
          <t>DERIVED</t>
        </is>
      </c>
      <c r="D29" s="84"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4" t="inlineStr">
        <is>
          <t>Derived from the sweep's review volume and the model's own salary line</t>
        </is>
      </c>
      <c r="F29" s="87" t="inlineStr">
        <is>
          <t>Medium</t>
        </is>
      </c>
      <c r="G29" s="84" t="inlineStr">
        <is>
          <t>Timing real reviews. Four minutes is an estimate of a mechanical task.</t>
        </is>
      </c>
    </row>
    <row r="30" ht="58" customHeight="1">
      <c r="A30" s="82" t="inlineStr">
        <is>
          <t>Athlete CAC vs the funnel</t>
        </is>
      </c>
      <c r="B30" s="33">
        <f>Assumptions!$C$19</f>
        <v/>
      </c>
      <c r="C30" s="89" t="inlineStr">
        <is>
          <t>ESTIMATE</t>
        </is>
      </c>
      <c r="D30" s="84"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4" t="inlineStr">
        <is>
          <t>None — this is a definitional choice, made explicit so it is not silently reversed</t>
        </is>
      </c>
      <c r="F30" s="90" t="inlineStr">
        <is>
          <t>Low</t>
        </is>
      </c>
      <c r="G30" s="84" t="inlineStr">
        <is>
          <t>Channel-level spend against applications, which the funnel now records.</t>
        </is>
      </c>
    </row>
    <row r="31" ht="58" customHeight="1">
      <c r="A31" s="82" t="inlineStr">
        <is>
          <t>Loaded salary, Spain</t>
        </is>
      </c>
      <c r="B31" s="33">
        <f>Assumptions!$C$61</f>
        <v/>
      </c>
      <c r="C31" s="83" t="inlineStr">
        <is>
          <t>BENCHMARKED</t>
        </is>
      </c>
      <c r="D31" s="84"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4" t="inlineStr">
        <is>
          <t>Spanish Seguridad Social employer contribution rates</t>
        </is>
      </c>
      <c r="F31" s="87" t="inlineStr">
        <is>
          <t>Medium</t>
        </is>
      </c>
      <c r="G31" s="84" t="inlineStr">
        <is>
          <t>Actual offers accepted.</t>
        </is>
      </c>
    </row>
    <row r="32" ht="58" customHeight="1">
      <c r="A32" s="82" t="inlineStr">
        <is>
          <t>AWS infrastructure</t>
        </is>
      </c>
      <c r="B32" s="33">
        <f>Assumptions!$C$52</f>
        <v/>
      </c>
      <c r="C32" s="83" t="inlineStr">
        <is>
          <t>BENCHMARKED</t>
        </is>
      </c>
      <c r="D32" s="84" t="inlineStr">
        <is>
          <t>Built up per stage from list prices: Fargate, RDS then Aurora, ElastiCache, S3, MediaConvert, CloudWatch. Reserved capacity and Savings Plans (25-40%) are deliberately excluded and treated as upside.</t>
        </is>
      </c>
      <c r="E32" s="84" t="inlineStr">
        <is>
          <t>AWS published list pricing, 2026</t>
        </is>
      </c>
      <c r="F32" s="87" t="inlineStr">
        <is>
          <t>Medium</t>
        </is>
      </c>
      <c r="G32" s="84" t="inlineStr">
        <is>
          <t>Actual bills; commit to Savings Plans once usage is stable.</t>
        </is>
      </c>
    </row>
    <row r="33" ht="58" customHeight="1">
      <c r="A33" s="82" t="inlineStr">
        <is>
          <t>Media egress</t>
        </is>
      </c>
      <c r="B33" s="33">
        <f>Assumptions!$C$54</f>
        <v/>
      </c>
      <c r="C33" s="88" t="inlineStr">
        <is>
          <t>SOURCED</t>
        </is>
      </c>
      <c r="D33" s="84"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4" t="inlineStr">
        <is>
          <t>Cloudflare R2 and Backblaze B2 pricing; AWS CloudFront list price</t>
        </is>
      </c>
      <c r="F33" s="85" t="inlineStr">
        <is>
          <t>High</t>
        </is>
      </c>
      <c r="G33" s="84" t="inlineStr">
        <is>
          <t>Nothing. Both are published.</t>
        </is>
      </c>
    </row>
    <row r="34" ht="58" customHeight="1">
      <c r="A34" s="82" t="inlineStr">
        <is>
          <t>Moderation cost</t>
        </is>
      </c>
      <c r="B34" s="33">
        <f>Assumptions!$C$56</f>
        <v/>
      </c>
      <c r="C34" s="89" t="inlineStr">
        <is>
          <t>ESTIMATE</t>
        </is>
      </c>
      <c r="D34" s="84" t="inlineStr">
        <is>
          <t>EUR 22 per 1,000 items reviewed, on a hybrid of automated classification and human review. Vendor pricing varies widely with SLA and content type.</t>
        </is>
      </c>
      <c r="E34" s="84" t="inlineStr">
        <is>
          <t>None cited</t>
        </is>
      </c>
      <c r="F34" s="90" t="inlineStr">
        <is>
          <t>Low</t>
        </is>
      </c>
      <c r="G34" s="84" t="inlineStr">
        <is>
          <t>Vendor quotes once P2 scope is fixed.</t>
        </is>
      </c>
    </row>
    <row r="35">
      <c r="A35" s="11" t="inlineStr">
        <is>
          <t>— TAX, CAPITAL &amp; VALUATION —</t>
        </is>
      </c>
      <c r="B35" s="12" t="n"/>
      <c r="C35" s="12" t="n"/>
      <c r="D35" s="12" t="n"/>
      <c r="E35" s="12" t="n"/>
      <c r="F35" s="12" t="n"/>
      <c r="G35" s="12" t="n"/>
    </row>
    <row r="36" ht="58" customHeight="1">
      <c r="A36" s="82" t="inlineStr">
        <is>
          <t>Corporate tax rates</t>
        </is>
      </c>
      <c r="B36" s="33">
        <f>Assumptions!$C$71</f>
        <v/>
      </c>
      <c r="C36" s="88" t="inlineStr">
        <is>
          <t>SOURCED</t>
        </is>
      </c>
      <c r="D36" s="84" t="inlineStr">
        <is>
          <t>15% for the first four profitable years under the Spanish Startup Law, then the 25% standard rate. Modelled with loss carryforward against the Y1-Y4 losses.</t>
        </is>
      </c>
      <c r="E36" s="84" t="inlineStr">
        <is>
          <t>Ley de Startups (Spain); Impuesto sobre Sociedades</t>
        </is>
      </c>
      <c r="F36" s="85" t="inlineStr">
        <is>
          <t>High</t>
        </is>
      </c>
      <c r="G36" s="84" t="inlineStr">
        <is>
          <t>Confirm eligibility with a Spanish tax adviser before filing.</t>
        </is>
      </c>
    </row>
    <row r="37" ht="58" customHeight="1">
      <c r="A37" s="82" t="inlineStr">
        <is>
          <t>Risk-free rate</t>
        </is>
      </c>
      <c r="B37" s="33">
        <f>Assumptions!$C$88</f>
        <v/>
      </c>
      <c r="C37" s="88" t="inlineStr">
        <is>
          <t>SOURCED</t>
        </is>
      </c>
      <c r="D37" s="84" t="inlineStr">
        <is>
          <t>Spanish 10-year sovereign yield, ~3.2% in mid-2026. Used as the floor for the founder opportunity-cost calculation rather than as the discount rate.</t>
        </is>
      </c>
      <c r="E37" s="84" t="inlineStr">
        <is>
          <t>Spanish 10Y government bond yield</t>
        </is>
      </c>
      <c r="F37" s="85" t="inlineStr">
        <is>
          <t>High</t>
        </is>
      </c>
      <c r="G37" s="84" t="inlineStr">
        <is>
          <t>Refresh at the date of any raise.</t>
        </is>
      </c>
    </row>
    <row r="38" ht="58" customHeight="1">
      <c r="A38" s="82" t="inlineStr">
        <is>
          <t>WACC / discount rate</t>
        </is>
      </c>
      <c r="B38" s="33">
        <f>Assumptions!$C$85</f>
        <v/>
      </c>
      <c r="C38" s="83" t="inlineStr">
        <is>
          <t>BENCHMARKED</t>
        </is>
      </c>
      <c r="D38" s="84" t="inlineStr">
        <is>
          <t>25%. The conventional range for pre-revenue to early-revenue venture is 20-35% and we sit mid-range. The sensitivity grid runs 18-30% precisely because this is arguable rather than knowable.</t>
        </is>
      </c>
      <c r="E38" s="84" t="inlineStr">
        <is>
          <t>Standard venture valuation practice</t>
        </is>
      </c>
      <c r="F38" s="87" t="inlineStr">
        <is>
          <t>Medium</t>
        </is>
      </c>
      <c r="G38" s="84" t="inlineStr">
        <is>
          <t>An actual term sheet prices this for you.</t>
        </is>
      </c>
    </row>
    <row r="39" ht="58" customHeight="1">
      <c r="A39" s="82" t="inlineStr">
        <is>
          <t>Exit revenue multiple</t>
        </is>
      </c>
      <c r="B39" s="33">
        <f>Assumptions!$C$87</f>
        <v/>
      </c>
      <c r="C39" s="83" t="inlineStr">
        <is>
          <t>BENCHMARKED</t>
        </is>
      </c>
      <c r="D39" s="84" t="inlineStr">
        <is>
          <t>6.5x blended. Marketplace comparables trade around 4x revenue and high-growth SaaS around 9x; our Y10 mix is roughly 55% marketplace take and 12% SaaS.</t>
        </is>
      </c>
      <c r="E39" s="84" t="inlineStr">
        <is>
          <t>Public marketplace and SaaS trading multiples</t>
        </is>
      </c>
      <c r="F39" s="87" t="inlineStr">
        <is>
          <t>Medium</t>
        </is>
      </c>
      <c r="G39" s="84" t="inlineStr">
        <is>
          <t>Comparable private transactions nearer an exit.</t>
        </is>
      </c>
    </row>
    <row r="40" ht="58" customHeight="1">
      <c r="A40" s="82" t="inlineStr">
        <is>
          <t>Terminal growth</t>
        </is>
      </c>
      <c r="B40" s="33">
        <f>Assumptions!$C$86</f>
        <v/>
      </c>
      <c r="C40" s="83" t="inlineStr">
        <is>
          <t>BENCHMARKED</t>
        </is>
      </c>
      <c r="D40" s="84" t="inlineStr">
        <is>
          <t>3%, approximating long-run nominal GDP. Ten explicit forecast years were chosen partly so this assumption carries less of the valuation than it would at Y7.</t>
        </is>
      </c>
      <c r="E40" s="84" t="inlineStr">
        <is>
          <t>Standard DCF convention</t>
        </is>
      </c>
      <c r="F40" s="87" t="inlineStr">
        <is>
          <t>Medium</t>
        </is>
      </c>
      <c r="G40" s="84" t="inlineStr">
        <is>
          <t>Nothing — it is a convention, and the grid shows its effect.</t>
        </is>
      </c>
    </row>
    <row r="41">
      <c r="A41" s="11" t="inlineStr">
        <is>
          <t>— COMPLIANCE —</t>
        </is>
      </c>
      <c r="B41" s="12" t="n"/>
      <c r="C41" s="12" t="n"/>
      <c r="D41" s="12" t="n"/>
      <c r="E41" s="12" t="n"/>
      <c r="F41" s="12" t="n"/>
      <c r="G41" s="12" t="n"/>
    </row>
    <row r="42" ht="58" customHeight="1">
      <c r="A42" s="82" t="inlineStr">
        <is>
          <t>Payout age floor</t>
        </is>
      </c>
      <c r="B42" s="86" t="inlineStr">
        <is>
          <t>see model</t>
        </is>
      </c>
      <c r="C42" s="88" t="inlineStr">
        <is>
          <t>SOURCED</t>
        </is>
      </c>
      <c r="D42" s="84" t="inlineStr">
        <is>
          <t>Stripe Express and Custom Connect require 18. Standard Connect allows 13+, but a legal guardian must own the account and hold the bank account the money lands in.</t>
        </is>
      </c>
      <c r="E42" s="84" t="inlineStr">
        <is>
          <t>Stripe Connect documentation</t>
        </is>
      </c>
      <c r="F42" s="85" t="inlineStr">
        <is>
          <t>High</t>
        </is>
      </c>
      <c r="G42" s="84" t="inlineStr">
        <is>
          <t>Nothing — it is a hard platform rule.</t>
        </is>
      </c>
    </row>
    <row r="43" ht="58" customHeight="1">
      <c r="A43" s="82" t="inlineStr">
        <is>
          <t>Digital consent age, Spain</t>
        </is>
      </c>
      <c r="B43" s="86" t="inlineStr">
        <is>
          <t>see model</t>
        </is>
      </c>
      <c r="C43" s="88" t="inlineStr">
        <is>
          <t>SOURCED</t>
        </is>
      </c>
      <c r="D43" s="84" t="inlineStr">
        <is>
          <t>14 today under LOPDGDD Art. 7. A draft Organic Law on the Protection of Minors in Digital Environments would raise it to 16 and make age verification mandatory — which is why 16 is the forward-compatible floor for an account.</t>
        </is>
      </c>
      <c r="E43" s="84" t="inlineStr">
        <is>
          <t>LOPDGDD Art. 7; draft Organic Law, Council of Ministers, March 2025</t>
        </is>
      </c>
      <c r="F43" s="85" t="inlineStr">
        <is>
          <t>High</t>
        </is>
      </c>
      <c r="G43" s="84" t="inlineStr">
        <is>
          <t>Track the bill through Parliament.</t>
        </is>
      </c>
    </row>
    <row r="45">
      <c r="A45" s="92" t="inlineStr">
        <is>
          <t>THE THREE ASSUMPTIONS MOST LIKELY TO BE WRONG</t>
        </is>
      </c>
    </row>
    <row r="46" ht="30" customHeight="1">
      <c r="A46" s="93" t="inlineStr">
        <is>
          <t>1. Fan churn. We assume 6-13%/month; Patreon reports 10-15%. If Patreon is right, Y10 revenue falls from about EUR 58M to EUR 51M and the capital requirement roughly doubles.</t>
        </is>
      </c>
    </row>
    <row r="47" ht="30" customHeight="1">
      <c r="A47" s="93" t="inlineStr">
        <is>
          <t>2. Athlete count. The trajectory is a target, not a forecast, and everything scales off it.</t>
        </is>
      </c>
    </row>
    <row r="48" ht="30" customHeight="1">
      <c r="A48" s="93" t="inlineStr">
        <is>
          <t>3. Share of athletes who monetise. No published comparable exists at all.</t>
        </is>
      </c>
    </row>
    <row r="49" ht="30" customHeight="1">
      <c r="A49" s="94" t="inlineStr"/>
    </row>
    <row r="50" ht="30" customHeight="1">
      <c r="A50" s="94"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3"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5">
        <f>ROUND(C6-C5,0)</f>
        <v/>
      </c>
      <c r="D7" s="95">
        <f>ROUND(D6-D5,0)</f>
        <v/>
      </c>
      <c r="E7" s="95">
        <f>ROUND(E6-E5,0)</f>
        <v/>
      </c>
      <c r="F7" s="95">
        <f>ROUND(F6-F5,0)</f>
        <v/>
      </c>
      <c r="G7" s="95">
        <f>ROUND(G6-G5,0)</f>
        <v/>
      </c>
      <c r="H7" s="95">
        <f>ROUND(H6-H5,0)</f>
        <v/>
      </c>
      <c r="I7" s="95">
        <f>ROUND(I6-I5,0)</f>
        <v/>
      </c>
      <c r="J7" s="95">
        <f>ROUND(J6-J5,0)</f>
        <v/>
      </c>
      <c r="K7" s="95">
        <f>ROUND(K6-K5,0)</f>
        <v/>
      </c>
      <c r="L7" s="95">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5">
        <f>ROUND(C11-C10,0)</f>
        <v/>
      </c>
      <c r="D12" s="95">
        <f>ROUND(D11-D10,0)</f>
        <v/>
      </c>
      <c r="E12" s="95">
        <f>ROUND(E11-E10,0)</f>
        <v/>
      </c>
      <c r="F12" s="95">
        <f>ROUND(F11-F10,0)</f>
        <v/>
      </c>
      <c r="G12" s="95">
        <f>ROUND(G11-G10,0)</f>
        <v/>
      </c>
      <c r="H12" s="95">
        <f>ROUND(H11-H10,0)</f>
        <v/>
      </c>
      <c r="I12" s="95">
        <f>ROUND(I11-I10,0)</f>
        <v/>
      </c>
      <c r="J12" s="95">
        <f>ROUND(J11-J10,0)</f>
        <v/>
      </c>
      <c r="K12" s="95">
        <f>ROUND(K11-K10,0)</f>
        <v/>
      </c>
      <c r="L12" s="95">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5">
        <f>ROUND(C16-C15,0)</f>
        <v/>
      </c>
      <c r="D17" s="95">
        <f>ROUND(D16-D15,0)</f>
        <v/>
      </c>
      <c r="E17" s="95">
        <f>ROUND(E16-E15,0)</f>
        <v/>
      </c>
      <c r="F17" s="95">
        <f>ROUND(F16-F15,0)</f>
        <v/>
      </c>
      <c r="G17" s="95">
        <f>ROUND(G16-G15,0)</f>
        <v/>
      </c>
      <c r="H17" s="95">
        <f>ROUND(H16-H15,0)</f>
        <v/>
      </c>
      <c r="I17" s="95">
        <f>ROUND(I16-I15,0)</f>
        <v/>
      </c>
      <c r="J17" s="95">
        <f>ROUND(J16-J15,0)</f>
        <v/>
      </c>
      <c r="K17" s="95">
        <f>ROUND(K16-K15,0)</f>
        <v/>
      </c>
      <c r="L17" s="95">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5">
        <f>ROUND(C21-C20,0)</f>
        <v/>
      </c>
      <c r="D22" s="95">
        <f>ROUND(D21-D20,0)</f>
        <v/>
      </c>
      <c r="E22" s="95">
        <f>ROUND(E21-E20,0)</f>
        <v/>
      </c>
      <c r="F22" s="95">
        <f>ROUND(F21-F20,0)</f>
        <v/>
      </c>
      <c r="G22" s="95">
        <f>ROUND(G21-G20,0)</f>
        <v/>
      </c>
      <c r="H22" s="95">
        <f>ROUND(H21-H20,0)</f>
        <v/>
      </c>
      <c r="I22" s="95">
        <f>ROUND(I21-I20,0)</f>
        <v/>
      </c>
      <c r="J22" s="95">
        <f>ROUND(J21-J20,0)</f>
        <v/>
      </c>
      <c r="K22" s="95">
        <f>ROUND(K21-K20,0)</f>
        <v/>
      </c>
      <c r="L22" s="95">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5">
        <f>ROUND(C26-C25,0)</f>
        <v/>
      </c>
      <c r="D27" s="95">
        <f>ROUND(D26-D25,0)</f>
        <v/>
      </c>
      <c r="E27" s="95">
        <f>ROUND(E26-E25,0)</f>
        <v/>
      </c>
      <c r="F27" s="95">
        <f>ROUND(F26-F25,0)</f>
        <v/>
      </c>
      <c r="G27" s="95">
        <f>ROUND(G26-G25,0)</f>
        <v/>
      </c>
      <c r="H27" s="95">
        <f>ROUND(H26-H25,0)</f>
        <v/>
      </c>
      <c r="I27" s="95">
        <f>ROUND(I26-I25,0)</f>
        <v/>
      </c>
      <c r="J27" s="95">
        <f>ROUND(J26-J25,0)</f>
        <v/>
      </c>
      <c r="K27" s="95">
        <f>ROUND(K26-K25,0)</f>
        <v/>
      </c>
      <c r="L27" s="95">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6">
        <f>ROUND(C31-C30,0)</f>
        <v/>
      </c>
      <c r="D32" s="96">
        <f>ROUND(D31-D30,0)</f>
        <v/>
      </c>
      <c r="E32" s="96">
        <f>ROUND(E31-E30,0)</f>
        <v/>
      </c>
      <c r="F32" s="96">
        <f>ROUND(F31-F30,0)</f>
        <v/>
      </c>
      <c r="G32" s="96">
        <f>ROUND(G31-G30,0)</f>
        <v/>
      </c>
      <c r="H32" s="96">
        <f>ROUND(H31-H30,0)</f>
        <v/>
      </c>
      <c r="I32" s="96">
        <f>ROUND(I31-I30,0)</f>
        <v/>
      </c>
      <c r="J32" s="96">
        <f>ROUND(J31-J30,0)</f>
        <v/>
      </c>
      <c r="K32" s="96">
        <f>ROUND(K31-K30,0)</f>
        <v/>
      </c>
      <c r="L32" s="96">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6">
        <f>ROUND(C36-C35,0)</f>
        <v/>
      </c>
      <c r="D37" s="96">
        <f>ROUND(D36-D35,0)</f>
        <v/>
      </c>
      <c r="E37" s="96">
        <f>ROUND(E36-E35,0)</f>
        <v/>
      </c>
      <c r="F37" s="96">
        <f>ROUND(F36-F35,0)</f>
        <v/>
      </c>
      <c r="G37" s="96">
        <f>ROUND(G36-G35,0)</f>
        <v/>
      </c>
      <c r="H37" s="96">
        <f>ROUND(H36-H35,0)</f>
        <v/>
      </c>
      <c r="I37" s="96">
        <f>ROUND(I36-I35,0)</f>
        <v/>
      </c>
      <c r="J37" s="96">
        <f>ROUND(J36-J35,0)</f>
        <v/>
      </c>
      <c r="K37" s="96">
        <f>ROUND(K36-K35,0)</f>
        <v/>
      </c>
      <c r="L37" s="96">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5">
        <f>ROUND(C41-C40,0)</f>
        <v/>
      </c>
      <c r="D42" s="95">
        <f>ROUND(D41-D40,0)</f>
        <v/>
      </c>
      <c r="E42" s="95">
        <f>ROUND(E41-E40,0)</f>
        <v/>
      </c>
      <c r="F42" s="95">
        <f>ROUND(F41-F40,0)</f>
        <v/>
      </c>
      <c r="G42" s="95">
        <f>ROUND(G41-G40,0)</f>
        <v/>
      </c>
      <c r="H42" s="95">
        <f>ROUND(H41-H40,0)</f>
        <v/>
      </c>
      <c r="I42" s="95">
        <f>ROUND(I41-I40,0)</f>
        <v/>
      </c>
      <c r="J42" s="95">
        <f>ROUND(J41-J40,0)</f>
        <v/>
      </c>
      <c r="K42" s="95">
        <f>ROUND(K41-K40,0)</f>
        <v/>
      </c>
      <c r="L42" s="95">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6">
        <f>ROUND(C46-C45,0)</f>
        <v/>
      </c>
      <c r="D47" s="96">
        <f>ROUND(D46-D45,0)</f>
        <v/>
      </c>
      <c r="E47" s="96">
        <f>ROUND(E46-E45,0)</f>
        <v/>
      </c>
      <c r="F47" s="96">
        <f>ROUND(F46-F45,0)</f>
        <v/>
      </c>
      <c r="G47" s="96">
        <f>ROUND(G46-G45,0)</f>
        <v/>
      </c>
      <c r="H47" s="96">
        <f>ROUND(H46-H45,0)</f>
        <v/>
      </c>
      <c r="I47" s="96">
        <f>ROUND(I46-I45,0)</f>
        <v/>
      </c>
      <c r="J47" s="96">
        <f>ROUND(J46-J45,0)</f>
        <v/>
      </c>
      <c r="K47" s="96">
        <f>ROUND(K46-K45,0)</f>
        <v/>
      </c>
      <c r="L47" s="96">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6">
        <f>ROUND(C51-C50,0)</f>
        <v/>
      </c>
      <c r="D52" s="96">
        <f>ROUND(D51-D50,0)</f>
        <v/>
      </c>
      <c r="E52" s="96">
        <f>ROUND(E51-E50,0)</f>
        <v/>
      </c>
      <c r="F52" s="96">
        <f>ROUND(F51-F50,0)</f>
        <v/>
      </c>
      <c r="G52" s="96">
        <f>ROUND(G51-G50,0)</f>
        <v/>
      </c>
      <c r="H52" s="96">
        <f>ROUND(H51-H50,0)</f>
        <v/>
      </c>
      <c r="I52" s="96">
        <f>ROUND(I51-I50,0)</f>
        <v/>
      </c>
      <c r="J52" s="96">
        <f>ROUND(J51-J50,0)</f>
        <v/>
      </c>
      <c r="K52" s="96">
        <f>ROUND(K51-K50,0)</f>
        <v/>
      </c>
      <c r="L52" s="96">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5">
        <f>ROUND(C56-C55,0)</f>
        <v/>
      </c>
      <c r="D57" s="95">
        <f>ROUND(D56-D55,0)</f>
        <v/>
      </c>
      <c r="E57" s="95">
        <f>ROUND(E56-E55,0)</f>
        <v/>
      </c>
      <c r="F57" s="95">
        <f>ROUND(F56-F55,0)</f>
        <v/>
      </c>
      <c r="G57" s="95">
        <f>ROUND(G56-G55,0)</f>
        <v/>
      </c>
      <c r="H57" s="95">
        <f>ROUND(H56-H55,0)</f>
        <v/>
      </c>
      <c r="I57" s="95">
        <f>ROUND(I56-I55,0)</f>
        <v/>
      </c>
      <c r="J57" s="95">
        <f>ROUND(J56-J55,0)</f>
        <v/>
      </c>
      <c r="K57" s="95">
        <f>ROUND(K56-K55,0)</f>
        <v/>
      </c>
      <c r="L57" s="95">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5">
        <f>ROUND(C61-C60,0)</f>
        <v/>
      </c>
      <c r="D62" s="95">
        <f>ROUND(D61-D60,0)</f>
        <v/>
      </c>
      <c r="E62" s="95">
        <f>ROUND(E61-E60,0)</f>
        <v/>
      </c>
      <c r="F62" s="95">
        <f>ROUND(F61-F60,0)</f>
        <v/>
      </c>
      <c r="G62" s="95">
        <f>ROUND(G61-G60,0)</f>
        <v/>
      </c>
      <c r="H62" s="95">
        <f>ROUND(H61-H60,0)</f>
        <v/>
      </c>
      <c r="I62" s="95">
        <f>ROUND(I61-I60,0)</f>
        <v/>
      </c>
      <c r="J62" s="95">
        <f>ROUND(J61-J60,0)</f>
        <v/>
      </c>
      <c r="K62" s="95">
        <f>ROUND(K61-K60,0)</f>
        <v/>
      </c>
      <c r="L62" s="95">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5">
        <f>ROUND(C66-C65,0)</f>
        <v/>
      </c>
      <c r="D67" s="95">
        <f>ROUND(D66-D65,0)</f>
        <v/>
      </c>
      <c r="E67" s="95">
        <f>ROUND(E66-E65,0)</f>
        <v/>
      </c>
      <c r="F67" s="95">
        <f>ROUND(F66-F65,0)</f>
        <v/>
      </c>
      <c r="G67" s="95">
        <f>ROUND(G66-G65,0)</f>
        <v/>
      </c>
      <c r="H67" s="95">
        <f>ROUND(H66-H65,0)</f>
        <v/>
      </c>
      <c r="I67" s="95">
        <f>ROUND(I66-I65,0)</f>
        <v/>
      </c>
      <c r="J67" s="95">
        <f>ROUND(J66-J65,0)</f>
        <v/>
      </c>
      <c r="K67" s="95">
        <f>ROUND(K66-K65,0)</f>
        <v/>
      </c>
      <c r="L67" s="95">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5">
        <f>ROUND(C71-C70,0)</f>
        <v/>
      </c>
      <c r="D72" s="95">
        <f>ROUND(D71-D70,0)</f>
        <v/>
      </c>
      <c r="E72" s="95">
        <f>ROUND(E71-E70,0)</f>
        <v/>
      </c>
      <c r="F72" s="95">
        <f>ROUND(F71-F70,0)</f>
        <v/>
      </c>
      <c r="G72" s="95">
        <f>ROUND(G71-G70,0)</f>
        <v/>
      </c>
      <c r="H72" s="95">
        <f>ROUND(H71-H70,0)</f>
        <v/>
      </c>
      <c r="I72" s="95">
        <f>ROUND(I71-I70,0)</f>
        <v/>
      </c>
      <c r="J72" s="95">
        <f>ROUND(J71-J70,0)</f>
        <v/>
      </c>
      <c r="K72" s="95">
        <f>ROUND(K71-K70,0)</f>
        <v/>
      </c>
      <c r="L72" s="95">
        <f>ROUND(L71-L70,0)</f>
        <v/>
      </c>
    </row>
    <row r="74">
      <c r="A74" s="2" t="inlineStr">
        <is>
          <t>Balance sheet check (from BalanceSheet, must be zero):</t>
        </is>
      </c>
    </row>
    <row r="75">
      <c r="A75" s="39" t="inlineStr">
        <is>
          <t xml:space="preserve">  Assets less liabilities and equity</t>
        </is>
      </c>
      <c r="B75" s="40" t="inlineStr">
        <is>
          <t>must be 0</t>
        </is>
      </c>
      <c r="C75" s="97">
        <f>BalanceSheet!C20</f>
        <v/>
      </c>
      <c r="D75" s="97">
        <f>BalanceSheet!D20</f>
        <v/>
      </c>
      <c r="E75" s="97">
        <f>BalanceSheet!E20</f>
        <v/>
      </c>
      <c r="F75" s="97">
        <f>BalanceSheet!F20</f>
        <v/>
      </c>
      <c r="G75" s="97">
        <f>BalanceSheet!G20</f>
        <v/>
      </c>
      <c r="H75" s="97">
        <f>BalanceSheet!H20</f>
        <v/>
      </c>
      <c r="I75" s="97">
        <f>BalanceSheet!I20</f>
        <v/>
      </c>
      <c r="J75" s="97">
        <f>BalanceSheet!J20</f>
        <v/>
      </c>
      <c r="K75" s="97">
        <f>BalanceSheet!K20</f>
        <v/>
      </c>
      <c r="L75" s="97">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2026-09-09T12:16:26Z</dcterms:created>
  <dcterms:modified xsi:type="dcterms:W3CDTF">2026-09-09T12:16:26Z</dcterms:modified>
</cp:coreProperties>
</file>