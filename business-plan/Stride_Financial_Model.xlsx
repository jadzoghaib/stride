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Drivers" sheetId="3" state="visible" r:id="rId3"/>
    <sheet name="Revenue" sheetId="4" state="visible" r:id="rId4"/>
    <sheet name="Costs" sheetId="5" state="visible" r:id="rId5"/>
    <sheet name="WorkingCap" sheetId="6" state="visible" r:id="rId6"/>
    <sheet name="P&amp;L" sheetId="7" state="visible" r:id="rId7"/>
    <sheet name="CashFlow" sheetId="8" state="visible" r:id="rId8"/>
    <sheet name="BalanceSheet" sheetId="9" state="visible" r:id="rId9"/>
    <sheet name="Valuation" sheetId="10" state="visible" r:id="rId10"/>
    <sheet name="Funding" sheetId="11" state="visible" r:id="rId11"/>
    <sheet name="HiringPlan" sheetId="12" state="visible" r:id="rId12"/>
    <sheet name="CAC_CLV" sheetId="13" state="visible" r:id="rId13"/>
    <sheet name="KPIs" sheetId="14" state="visible" r:id="rId14"/>
    <sheet name="Check" sheetId="15" state="visible" r:id="rId15"/>
    <sheet name="Comparables" sheetId="16" state="visible" r:id="rId16"/>
    <sheet name="MarketModel" sheetId="17" state="visible" r:id="rId17"/>
    <sheet name="Research" sheetId="18" state="visible" r:id="rId18"/>
  </sheets>
  <definedNames/>
  <calcPr calcId="124519" fullCalcOnLoad="1"/>
</workbook>
</file>

<file path=xl/styles.xml><?xml version="1.0" encoding="utf-8"?>
<styleSheet xmlns="http://schemas.openxmlformats.org/spreadsheetml/2006/main">
  <numFmts count="8">
    <numFmt numFmtId="164" formatCode="0.0%"/>
    <numFmt numFmtId="165" formatCode="#,##0.00;[Red](#,##0.00)"/>
    <numFmt numFmtId="166" formatCode="0.0"/>
    <numFmt numFmtId="167" formatCode="#,##0;[Red](#,##0)"/>
    <numFmt numFmtId="168" formatCode="0.000"/>
    <numFmt numFmtId="169" formatCode="0.000%"/>
    <numFmt numFmtId="170" formatCode="#,##0.000"/>
    <numFmt numFmtId="171" formatCode="#,##0.0"/>
  </numFmts>
  <fonts count="36">
    <font>
      <name val="Calibri"/>
      <family val="2"/>
      <color theme="1"/>
      <sz val="11"/>
      <scheme val="minor"/>
    </font>
    <font>
      <name val="Calibri"/>
      <b val="1"/>
      <color rgb="0014100A"/>
      <sz val="13"/>
    </font>
    <font>
      <name val="Calibri"/>
      <b val="1"/>
      <sz val="10"/>
    </font>
    <font>
      <b val="1"/>
      <sz val="10"/>
    </font>
    <font>
      <b val="1"/>
      <color rgb="008A5200"/>
      <sz val="9"/>
    </font>
    <font>
      <color rgb="001F4E9C"/>
      <sz val="11"/>
      <u val="single"/>
    </font>
    <font>
      <name val="Calibri"/>
      <b val="1"/>
      <color rgb="001F4E9C"/>
      <sz val="8"/>
    </font>
    <font>
      <name val="Calibri"/>
      <b val="1"/>
      <color rgb="008A5200"/>
      <sz val="8"/>
    </font>
    <font>
      <name val="Calibri"/>
      <b val="1"/>
      <color rgb="001A1A1A"/>
      <sz val="8"/>
    </font>
    <font>
      <name val="Calibri"/>
      <b val="1"/>
      <color rgb="001E7A3C"/>
      <sz val="8"/>
    </font>
    <font>
      <name val="Calibri"/>
      <b val="1"/>
      <color rgb="00FFFFFF"/>
      <sz val="10"/>
    </font>
    <font>
      <b val="1"/>
      <color rgb="008A5200"/>
      <sz val="10"/>
    </font>
    <font>
      <name val="Calibri"/>
      <sz val="10"/>
    </font>
    <font>
      <name val="Calibri"/>
      <color rgb="006B7480"/>
      <sz val="9"/>
    </font>
    <font>
      <name val="Calibri"/>
      <color rgb="001F4E9C"/>
      <sz val="10"/>
    </font>
    <font>
      <name val="Calibri"/>
      <color rgb="001E7A3C"/>
      <sz val="10"/>
    </font>
    <font>
      <name val="Calibri"/>
      <i val="1"/>
      <color rgb="006B7480"/>
      <sz val="8"/>
    </font>
    <font>
      <name val="Calibri"/>
      <i val="1"/>
      <color rgb="001E7A3C"/>
      <sz val="8"/>
    </font>
    <font>
      <name val="Calibri"/>
      <color rgb="008A5200"/>
      <sz val="10"/>
    </font>
    <font>
      <name val="Calibri"/>
      <color rgb="001A1A1A"/>
      <sz val="10"/>
    </font>
    <font>
      <name val="Calibri"/>
      <b val="1"/>
      <color rgb="001A1A1A"/>
      <sz val="10"/>
    </font>
    <font>
      <name val="Calibri"/>
      <b val="1"/>
      <color rgb="001E7A3C"/>
      <sz val="10"/>
    </font>
    <font>
      <name val="Calibri"/>
      <b val="1"/>
      <color rgb="00B3272D"/>
      <sz val="10"/>
    </font>
    <font>
      <name val="Calibri"/>
      <i val="1"/>
      <color rgb="006B7280"/>
      <sz val="8"/>
    </font>
    <font>
      <i val="1"/>
      <color rgb="006B7480"/>
      <sz val="9"/>
    </font>
    <font>
      <name val="Calibri"/>
      <color rgb="004A525E"/>
      <sz val="9"/>
    </font>
    <font>
      <name val="Calibri"/>
      <sz val="9"/>
    </font>
    <font>
      <name val="Calibri"/>
      <color rgb="001F4E9C"/>
      <sz val="9"/>
      <u val="single"/>
    </font>
    <font>
      <b val="1"/>
      <color rgb="001F4E9C"/>
      <sz val="9"/>
    </font>
    <font>
      <b val="1"/>
      <sz val="9"/>
    </font>
    <font>
      <b val="1"/>
      <color rgb="001E7A3C"/>
      <sz val="9"/>
    </font>
    <font>
      <b val="1"/>
      <color rgb="00B3272D"/>
      <sz val="9"/>
    </font>
    <font>
      <b val="1"/>
      <color rgb="001A1A1A"/>
      <sz val="9"/>
    </font>
    <font>
      <b val="1"/>
      <color rgb="00B3272D"/>
      <sz val="11"/>
    </font>
    <font>
      <sz val="9"/>
    </font>
    <font>
      <i val="1"/>
      <sz val="9"/>
    </font>
  </fonts>
  <fills count="10">
    <fill>
      <patternFill/>
    </fill>
    <fill>
      <patternFill patternType="gray125"/>
    </fill>
    <fill>
      <patternFill patternType="solid">
        <fgColor rgb="00DCE9F7"/>
      </patternFill>
    </fill>
    <fill>
      <patternFill patternType="solid">
        <fgColor rgb="00FDF0D5"/>
      </patternFill>
    </fill>
    <fill>
      <patternFill patternType="solid">
        <fgColor rgb="00E4F2E4"/>
      </patternFill>
    </fill>
    <fill>
      <patternFill patternType="solid">
        <fgColor rgb="00EDF0F5"/>
      </patternFill>
    </fill>
    <fill>
      <patternFill patternType="solid">
        <fgColor rgb="00FBE3E3"/>
      </patternFill>
    </fill>
    <fill>
      <patternFill patternType="solid">
        <fgColor rgb="00FFFFFF"/>
      </patternFill>
    </fill>
    <fill>
      <patternFill patternType="solid">
        <fgColor rgb="0014181F"/>
      </patternFill>
    </fill>
    <fill>
      <patternFill patternType="solid">
        <fgColor rgb="00FFF4DE"/>
      </patternFill>
    </fill>
  </fills>
  <borders count="6">
    <border>
      <left/>
      <right/>
      <top/>
      <bottom/>
      <diagonal/>
    </border>
    <border>
      <left style="thin">
        <color rgb="00D8DEE7"/>
      </left>
      <right style="thin">
        <color rgb="00D8DEE7"/>
      </right>
      <top style="thin">
        <color rgb="00D8DEE7"/>
      </top>
      <bottom style="thin">
        <color rgb="00D8DEE7"/>
      </bottom>
    </border>
    <border>
      <left/>
      <right/>
      <top style="thin">
        <color rgb="00D8DEE7"/>
      </top>
      <bottom/>
      <diagonal/>
    </border>
    <border>
      <left/>
      <right style="thin">
        <color rgb="00D8DEE7"/>
      </right>
      <top style="thin">
        <color rgb="00D8DEE7"/>
      </top>
      <bottom/>
      <diagonal/>
    </border>
    <border>
      <left/>
      <right style="thin">
        <color rgb="00D8DEE7"/>
      </right>
      <top style="thin">
        <color rgb="00D8DEE7"/>
      </top>
      <bottom style="thin">
        <color rgb="00D8DEE7"/>
      </bottom>
      <diagonal/>
    </border>
    <border>
      <top style="medium">
        <color rgb="0014181F"/>
      </top>
    </border>
  </borders>
  <cellStyleXfs count="1">
    <xf numFmtId="0" fontId="0" fillId="0" borderId="0"/>
  </cellStyleXfs>
  <cellXfs count="10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0" fontId="3" fillId="0" borderId="0" pivotButton="0" quotePrefix="0" xfId="0"/>
    <xf numFmtId="0" fontId="3" fillId="4" borderId="0" pivotButton="0" quotePrefix="0" xfId="0"/>
    <xf numFmtId="0" fontId="3" fillId="5" borderId="0" pivotButton="0" quotePrefix="0" xfId="0"/>
    <xf numFmtId="0" fontId="3" fillId="6"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xf>
    <xf numFmtId="0" fontId="0" fillId="0" borderId="4" pivotButton="0" quotePrefix="0" xfId="0"/>
    <xf numFmtId="0" fontId="7" fillId="3" borderId="1" applyAlignment="1" pivotButton="0" quotePrefix="0" xfId="0">
      <alignment horizontal="center"/>
    </xf>
    <xf numFmtId="0" fontId="8" fillId="7" borderId="1" applyAlignment="1" pivotButton="0" quotePrefix="0" xfId="0">
      <alignment horizontal="center"/>
    </xf>
    <xf numFmtId="0" fontId="9" fillId="4" borderId="1" applyAlignment="1" pivotButton="0" quotePrefix="0" xfId="0">
      <alignment horizontal="center"/>
    </xf>
    <xf numFmtId="0" fontId="8" fillId="5" borderId="1" applyAlignment="1" pivotButton="0" quotePrefix="0" xfId="0">
      <alignment horizontal="center"/>
    </xf>
    <xf numFmtId="0" fontId="10" fillId="8" borderId="0" pivotButton="0" quotePrefix="0" xfId="0"/>
    <xf numFmtId="0" fontId="10" fillId="8" borderId="0" applyAlignment="1" pivotButton="0" quotePrefix="0" xfId="0">
      <alignment horizontal="center"/>
    </xf>
    <xf numFmtId="0" fontId="11" fillId="9" borderId="0" pivotButton="0" quotePrefix="0" xfId="0"/>
    <xf numFmtId="0" fontId="0" fillId="9" borderId="0" pivotButton="0" quotePrefix="0" xfId="0"/>
    <xf numFmtId="0" fontId="12" fillId="0" borderId="0" pivotButton="0" quotePrefix="0" xfId="0"/>
    <xf numFmtId="0" fontId="13" fillId="0" borderId="0" pivotButton="0" quotePrefix="0" xfId="0"/>
    <xf numFmtId="3" fontId="14" fillId="2" borderId="1" pivotButton="0" quotePrefix="0" xfId="0"/>
    <xf numFmtId="164" fontId="14" fillId="2" borderId="1" pivotButton="0" quotePrefix="0" xfId="0"/>
    <xf numFmtId="3" fontId="15" fillId="4" borderId="1" pivotButton="0" quotePrefix="0" xfId="0"/>
    <xf numFmtId="0" fontId="16" fillId="0" borderId="0" pivotButton="0" quotePrefix="0" xfId="0"/>
    <xf numFmtId="0" fontId="17" fillId="0" borderId="0" pivotButton="0" quotePrefix="0" xfId="0"/>
    <xf numFmtId="165" fontId="14" fillId="2" borderId="1" pivotButton="0" quotePrefix="0" xfId="0"/>
    <xf numFmtId="166" fontId="14" fillId="2" borderId="1" pivotButton="0" quotePrefix="0" xfId="0"/>
    <xf numFmtId="167" fontId="14" fillId="2" borderId="1" pivotButton="0" quotePrefix="0" xfId="0"/>
    <xf numFmtId="164" fontId="15" fillId="4" borderId="1" pivotButton="0" quotePrefix="0" xfId="0"/>
    <xf numFmtId="2" fontId="14" fillId="2" borderId="1" pivotButton="0" quotePrefix="0" xfId="0"/>
    <xf numFmtId="2" fontId="15" fillId="4" borderId="1" pivotButton="0" quotePrefix="0" xfId="0"/>
    <xf numFmtId="10" fontId="18" fillId="3" borderId="1" pivotButton="0" quotePrefix="0" xfId="0"/>
    <xf numFmtId="10" fontId="15" fillId="4" borderId="1" pivotButton="0" quotePrefix="0" xfId="0"/>
    <xf numFmtId="165" fontId="18" fillId="3" borderId="1" pivotButton="0" quotePrefix="0" xfId="0"/>
    <xf numFmtId="165" fontId="15" fillId="4" borderId="1" pivotButton="0" quotePrefix="0" xfId="0"/>
    <xf numFmtId="167" fontId="15" fillId="4" borderId="1" pivotButton="0" quotePrefix="0" xfId="0"/>
    <xf numFmtId="166" fontId="15" fillId="4" borderId="1" pivotButton="0" quotePrefix="0" xfId="0"/>
    <xf numFmtId="168" fontId="18" fillId="3" borderId="1" pivotButton="0" quotePrefix="0" xfId="0"/>
    <xf numFmtId="168" fontId="15" fillId="4" borderId="1" pivotButton="0" quotePrefix="0" xfId="0"/>
    <xf numFmtId="1" fontId="14" fillId="2" borderId="1" pivotButton="0" quotePrefix="0" xfId="0"/>
    <xf numFmtId="1" fontId="15" fillId="4" borderId="1" pivotButton="0" quotePrefix="0" xfId="0"/>
    <xf numFmtId="164" fontId="18" fillId="3" borderId="1" pivotButton="0" quotePrefix="0" xfId="0"/>
    <xf numFmtId="1" fontId="18" fillId="3" borderId="1" pivotButton="0" quotePrefix="0" xfId="0"/>
    <xf numFmtId="3" fontId="19" fillId="7" borderId="1" pivotButton="0" quotePrefix="0" xfId="0"/>
    <xf numFmtId="0" fontId="2" fillId="5" borderId="0" pivotButton="0" quotePrefix="0" xfId="0"/>
    <xf numFmtId="0" fontId="13" fillId="5" borderId="0" pivotButton="0" quotePrefix="0" xfId="0"/>
    <xf numFmtId="3" fontId="20" fillId="5" borderId="1" pivotButton="0" quotePrefix="0" xfId="0"/>
    <xf numFmtId="168" fontId="19" fillId="7" borderId="1" pivotButton="0" quotePrefix="0" xfId="0"/>
    <xf numFmtId="167" fontId="20" fillId="5" borderId="1" pivotButton="0" quotePrefix="0" xfId="0"/>
    <xf numFmtId="169" fontId="21" fillId="5" borderId="1" pivotButton="0" quotePrefix="0" xfId="0"/>
    <xf numFmtId="0" fontId="2" fillId="5" borderId="5" pivotButton="0" quotePrefix="0" xfId="0"/>
    <xf numFmtId="167" fontId="20" fillId="5" borderId="5" pivotButton="0" quotePrefix="0" xfId="0"/>
    <xf numFmtId="167" fontId="19" fillId="7" borderId="1" pivotButton="0" quotePrefix="0" xfId="0"/>
    <xf numFmtId="164" fontId="19" fillId="7" borderId="1" pivotButton="0" quotePrefix="0" xfId="0"/>
    <xf numFmtId="167" fontId="21" fillId="5" borderId="1" pivotButton="0" quotePrefix="0" xfId="0"/>
    <xf numFmtId="167" fontId="22" fillId="5" borderId="5" pivotButton="0" quotePrefix="0" xfId="0"/>
    <xf numFmtId="167" fontId="2" fillId="0" borderId="0" pivotButton="0" quotePrefix="0" xfId="0"/>
    <xf numFmtId="164" fontId="2" fillId="0" borderId="0" pivotButton="0" quotePrefix="0" xfId="0"/>
    <xf numFmtId="164" fontId="10" fillId="8" borderId="0" pivotButton="0" quotePrefix="0" xfId="0"/>
    <xf numFmtId="167" fontId="0" fillId="0" borderId="0" pivotButton="0" quotePrefix="0" xfId="0"/>
    <xf numFmtId="164" fontId="20" fillId="5" borderId="1" pivotButton="0" quotePrefix="0" xfId="0"/>
    <xf numFmtId="166" fontId="20" fillId="5" borderId="5" pivotButton="0" quotePrefix="0" xfId="0"/>
    <xf numFmtId="166" fontId="20" fillId="5" borderId="1" pivotButton="0" quotePrefix="0" xfId="0"/>
    <xf numFmtId="167" fontId="15" fillId="7" borderId="1" pivotButton="0" quotePrefix="0" xfId="0"/>
    <xf numFmtId="0" fontId="23" fillId="0" borderId="0" pivotButton="0" quotePrefix="0" xfId="0"/>
    <xf numFmtId="2" fontId="19" fillId="7" borderId="1" pivotButton="0" quotePrefix="0" xfId="0"/>
    <xf numFmtId="166" fontId="19" fillId="7" borderId="1" pivotButton="0" quotePrefix="0" xfId="0"/>
    <xf numFmtId="0" fontId="23" fillId="9" borderId="0" pivotButton="0" quotePrefix="0" xfId="0"/>
    <xf numFmtId="165" fontId="19" fillId="7" borderId="1" pivotButton="0" quotePrefix="0" xfId="0"/>
    <xf numFmtId="165" fontId="20" fillId="5" borderId="5" pivotButton="0" quotePrefix="0" xfId="0"/>
    <xf numFmtId="0" fontId="24" fillId="0" borderId="0" pivotButton="0" quotePrefix="0" xfId="0"/>
    <xf numFmtId="167" fontId="20" fillId="6" borderId="1" pivotButton="0" quotePrefix="0" xfId="0"/>
    <xf numFmtId="3" fontId="20" fillId="6" borderId="1" pivotButton="0" quotePrefix="0" xfId="0"/>
    <xf numFmtId="167" fontId="21" fillId="6" borderId="1" pivotButton="0" quotePrefix="0" xfId="0"/>
    <xf numFmtId="0" fontId="10" fillId="8" borderId="0" applyAlignment="1" pivotButton="0" quotePrefix="0" xfId="0">
      <alignment horizontal="center" wrapText="1"/>
    </xf>
    <xf numFmtId="0" fontId="12" fillId="0" borderId="1" pivotButton="0" quotePrefix="0" xfId="0"/>
    <xf numFmtId="3" fontId="18" fillId="3" borderId="1" pivotButton="0" quotePrefix="0" xfId="0"/>
    <xf numFmtId="0" fontId="25" fillId="0" borderId="1" applyAlignment="1" pivotButton="0" quotePrefix="0" xfId="0">
      <alignment vertical="top" wrapText="1"/>
    </xf>
    <xf numFmtId="170" fontId="18" fillId="3" borderId="1" pivotButton="0" quotePrefix="0" xfId="0"/>
    <xf numFmtId="0" fontId="11" fillId="0" borderId="0" pivotButton="0" quotePrefix="0" xfId="0"/>
    <xf numFmtId="164" fontId="18" fillId="3" borderId="0" pivotButton="0" quotePrefix="0" xfId="0"/>
    <xf numFmtId="165" fontId="18" fillId="3" borderId="0" pivotButton="0" quotePrefix="0" xfId="0"/>
    <xf numFmtId="0" fontId="25" fillId="0" borderId="0" pivotButton="0" quotePrefix="0" xfId="0"/>
    <xf numFmtId="0" fontId="26" fillId="0" borderId="0" pivotButton="0" quotePrefix="0" xfId="0"/>
    <xf numFmtId="0" fontId="27" fillId="0" borderId="0" pivotButton="0" quotePrefix="0" xfId="0"/>
    <xf numFmtId="0" fontId="25" fillId="0" borderId="0" applyAlignment="1" pivotButton="0" quotePrefix="0" xfId="0">
      <alignment vertical="top" wrapText="1"/>
    </xf>
    <xf numFmtId="166" fontId="2" fillId="5" borderId="1" pivotButton="0" quotePrefix="0" xfId="0"/>
    <xf numFmtId="165" fontId="2" fillId="5" borderId="1" pivotButton="0" quotePrefix="0" xfId="0"/>
    <xf numFmtId="164" fontId="2" fillId="5" borderId="1" pivotButton="0" quotePrefix="0" xfId="0"/>
    <xf numFmtId="171" fontId="14" fillId="2" borderId="1" pivotButton="0" quotePrefix="0" xfId="0"/>
    <xf numFmtId="3" fontId="2" fillId="5" borderId="1" pivotButton="0" quotePrefix="0" xfId="0"/>
    <xf numFmtId="0" fontId="10" fillId="8" borderId="0" applyAlignment="1" pivotButton="0" quotePrefix="0" xfId="0">
      <alignment horizontal="center" vertical="center" wrapText="1"/>
    </xf>
    <xf numFmtId="0" fontId="2" fillId="0" borderId="1" pivotButton="0" quotePrefix="0" xfId="0"/>
    <xf numFmtId="0" fontId="28" fillId="0" borderId="1" pivotButton="0" quotePrefix="0" xfId="0"/>
    <xf numFmtId="0" fontId="26" fillId="0" borderId="1" applyAlignment="1" pivotButton="0" quotePrefix="0" xfId="0">
      <alignment vertical="top" wrapText="1"/>
    </xf>
    <xf numFmtId="0" fontId="29" fillId="4" borderId="1" applyAlignment="1" pivotButton="0" quotePrefix="0" xfId="0">
      <alignment horizontal="center"/>
    </xf>
    <xf numFmtId="0" fontId="24" fillId="0" borderId="1" pivotButton="0" quotePrefix="0" xfId="0"/>
    <xf numFmtId="0" fontId="29" fillId="3" borderId="1" applyAlignment="1" pivotButton="0" quotePrefix="0" xfId="0">
      <alignment horizontal="center"/>
    </xf>
    <xf numFmtId="0" fontId="30" fillId="0" borderId="1" pivotButton="0" quotePrefix="0" xfId="0"/>
    <xf numFmtId="0" fontId="31" fillId="0" borderId="1" pivotButton="0" quotePrefix="0" xfId="0"/>
    <xf numFmtId="0" fontId="29" fillId="6" borderId="1" applyAlignment="1" pivotButton="0" quotePrefix="0" xfId="0">
      <alignment horizontal="center"/>
    </xf>
    <xf numFmtId="0" fontId="32" fillId="0" borderId="1" pivotButton="0" quotePrefix="0" xfId="0"/>
    <xf numFmtId="0" fontId="33" fillId="0" borderId="0" pivotButton="0" quotePrefix="0" xfId="0"/>
    <xf numFmtId="0" fontId="34" fillId="0" borderId="0" applyAlignment="1" pivotButton="0" quotePrefix="0" xfId="0">
      <alignment vertical="top" wrapText="1"/>
    </xf>
    <xf numFmtId="0" fontId="3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ssumptions'!A1" TargetMode="External" Id="rId1" /><Relationship Type="http://schemas.openxmlformats.org/officeDocument/2006/relationships/hyperlink" Target="#'Drivers'!A1" TargetMode="External" Id="rId2" /><Relationship Type="http://schemas.openxmlformats.org/officeDocument/2006/relationships/hyperlink" Target="#'Revenue'!A1" TargetMode="External" Id="rId3" /><Relationship Type="http://schemas.openxmlformats.org/officeDocument/2006/relationships/hyperlink" Target="#'Costs'!A1" TargetMode="External" Id="rId4" /><Relationship Type="http://schemas.openxmlformats.org/officeDocument/2006/relationships/hyperlink" Target="#'WorkingCap'!A1" TargetMode="External" Id="rId5" /><Relationship Type="http://schemas.openxmlformats.org/officeDocument/2006/relationships/hyperlink" Target="#'P&amp;L'!A1" TargetMode="External" Id="rId6" /><Relationship Type="http://schemas.openxmlformats.org/officeDocument/2006/relationships/hyperlink" Target="#'CashFlow'!A1" TargetMode="External" Id="rId7" /><Relationship Type="http://schemas.openxmlformats.org/officeDocument/2006/relationships/hyperlink" Target="#'BalanceSheet'!A1" TargetMode="External" Id="rId8" /><Relationship Type="http://schemas.openxmlformats.org/officeDocument/2006/relationships/hyperlink" Target="#'Valuation'!A1" TargetMode="External" Id="rId9" /><Relationship Type="http://schemas.openxmlformats.org/officeDocument/2006/relationships/hyperlink" Target="#'Funding'!A1" TargetMode="External" Id="rId10" /><Relationship Type="http://schemas.openxmlformats.org/officeDocument/2006/relationships/hyperlink" Target="#'HiringPlan'!A1" TargetMode="External" Id="rId11" /><Relationship Type="http://schemas.openxmlformats.org/officeDocument/2006/relationships/hyperlink" Target="#'CAC_CLV'!A1" TargetMode="External" Id="rId12" /><Relationship Type="http://schemas.openxmlformats.org/officeDocument/2006/relationships/hyperlink" Target="#'KPIs'!A1" TargetMode="External" Id="rId13" /><Relationship Type="http://schemas.openxmlformats.org/officeDocument/2006/relationships/hyperlink" Target="#'Check'!A1" TargetMode="External" Id="rId14" /><Relationship Type="http://schemas.openxmlformats.org/officeDocument/2006/relationships/hyperlink" Target="#'Comparables'!A1" TargetMode="External" Id="rId15" /><Relationship Type="http://schemas.openxmlformats.org/officeDocument/2006/relationships/hyperlink" Target="#'MarketModel'!A1" TargetMode="External" Id="rId16" /><Relationship Type="http://schemas.openxmlformats.org/officeDocument/2006/relationships/hyperlink" Target="#'Research'!A1" TargetMode="External" Id="rId17" /></Relationships>
</file>

<file path=xl/worksheets/_rels/sheet16.xml.rels><Relationships xmlns="http://schemas.openxmlformats.org/package/2006/relationships"><Relationship Type="http://schemas.openxmlformats.org/officeDocument/2006/relationships/hyperlink" Target="https://find-and-update.company-information.service.gov.uk/company/10354575/filing-history" TargetMode="External" Id="rId1" /><Relationship Type="http://schemas.openxmlformats.org/officeDocument/2006/relationships/hyperlink" Target="https://variety.com/2025/digital/news/onlyfans-fiscal-2024-revenue-earnings-1236495750/" TargetMode="External" Id="rId2" /><Relationship Type="http://schemas.openxmlformats.org/officeDocument/2006/relationships/hyperlink" Target="https://www.patreon.com/pricing" TargetMode="External" Id="rId3" /><Relationship Type="http://schemas.openxmlformats.org/officeDocument/2006/relationships/hyperlink" Target="https://backlinko.com/patreon-users" TargetMode="External" Id="rId4" /><Relationship Type="http://schemas.openxmlformats.org/officeDocument/2006/relationships/hyperlink" Target="https://sacra.com/c/passes/" TargetMode="External" Id="rId5" /><Relationship Type="http://schemas.openxmlformats.org/officeDocument/2006/relationships/hyperlink" Target="https://auth.fanfix.io/creator-terms-of-use" TargetMode="External" Id="rId6" /><Relationship Type="http://schemas.openxmlformats.org/officeDocument/2006/relationships/hyperlink" Target="https://arunatalent.com/blog/onlyfans-agency-commission-rates/" TargetMode="External" Id="rId7" /><Relationship Type="http://schemas.openxmlformats.org/officeDocument/2006/relationships/hyperlink" Target="https://imgix.cosmicjs.com/cd844850-97c7-11f0-91fa-d9e1671c2776-NBPA-REGULATIONS-GOVERNING-PLAYER-AGENTS-09-2025.pdf" TargetMode="External" Id="rId8" /><Relationship Type="http://schemas.openxmlformats.org/officeDocument/2006/relationships/hyperlink" Target="https://digitalhub.fifa.com/m/1e7b741fa0fae779/original/FIFA-Football-Agent-Regulations.pdf" TargetMode="External" Id="rId9" /><Relationship Type="http://schemas.openxmlformats.org/officeDocument/2006/relationships/hyperlink" Target="https://inside.fifa.com/news/welcomes-court-of-justice-european-union-decision-football-agent-regulations" TargetMode="External" Id="rId10" /><Relationship Type="http://schemas.openxmlformats.org/officeDocument/2006/relationships/hyperlink" Target="https://europa.eu/eurobarometer/surveys/detail/2668" TargetMode="External" Id="rId11" /><Relationship Type="http://schemas.openxmlformats.org/officeDocument/2006/relationships/hyperlink" Target="https://www.padelfip.com/2025/12/online-the-fip-world-padel-report-2025-a-comprehensive-analysis-of-a-sport-in-constant-growth/" TargetMode="External" Id="rId12" /><Relationship Type="http://schemas.openxmlformats.org/officeDocument/2006/relationships/hyperlink" Target="https://stripe.com/es/pricing" TargetMode="External" Id="rId13" /><Relationship Type="http://schemas.openxmlformats.org/officeDocument/2006/relationships/hyperlink" Target="https://www.publicisgroupe.com/en/news/press-releases/publicis-sports-and-travis-kelce-s-tekta-join-forces-to-reimagine-the-future-of-nil-marketing" TargetMode="External" Id="rId14" /><Relationship Type="http://schemas.openxmlformats.org/officeDocument/2006/relationships/hyperlink" Target="https://support.stripe.com/questions/age-requirement-to-create-a-stripe-account" TargetMode="External" Id="rId15" /></Relationships>
</file>

<file path=xl/worksheets/sheet1.xml><?xml version="1.0" encoding="utf-8"?>
<worksheet xmlns="http://schemas.openxmlformats.org/spreadsheetml/2006/main">
  <sheetPr>
    <outlinePr summaryBelow="1" summaryRight="1"/>
    <pageSetUpPr/>
  </sheetPr>
  <dimension ref="A1:B43"/>
  <sheetViews>
    <sheetView showGridLines="0" workbookViewId="0">
      <selection activeCell="A1" sqref="A1"/>
    </sheetView>
  </sheetViews>
  <sheetFormatPr baseColWidth="8" defaultRowHeight="15"/>
  <cols>
    <col width="34" customWidth="1" min="1" max="1"/>
    <col width="86" customWidth="1" min="2" max="2"/>
  </cols>
  <sheetData>
    <row r="1">
      <c r="A1" s="1" t="inlineStr">
        <is>
          <t>Stride: Financial Model</t>
        </is>
      </c>
    </row>
    <row r="3">
      <c r="A3" s="2" t="inlineStr">
        <is>
          <t>10-year operating model, three statements, and a valuation. EUR. Y1 = 2027.</t>
        </is>
      </c>
    </row>
    <row r="5">
      <c r="A5" s="2" t="inlineStr">
        <is>
          <t>COLOUR CODE</t>
        </is>
      </c>
    </row>
    <row r="6">
      <c r="A6" s="3" t="inlineStr">
        <is>
          <t xml:space="preserve">  LIGHT BLUE</t>
        </is>
      </c>
      <c r="B6" t="inlineStr">
        <is>
          <t>Estimated input</t>
        </is>
      </c>
    </row>
    <row r="7">
      <c r="A7" s="4" t="inlineStr">
        <is>
          <t xml:space="preserve">  LIGHT YELLOW</t>
        </is>
      </c>
      <c r="B7" t="inlineStr">
        <is>
          <t>Sourced input (Stripe pricing, Spanish tax law, AWS list)</t>
        </is>
      </c>
    </row>
    <row r="8">
      <c r="A8" s="5" t="inlineStr">
        <is>
          <t xml:space="preserve">  WHITE</t>
        </is>
      </c>
      <c r="B8" t="inlineStr">
        <is>
          <t>Computed formula</t>
        </is>
      </c>
    </row>
    <row r="9">
      <c r="A9" s="6" t="inlineStr">
        <is>
          <t xml:space="preserve">  LIGHT GREEN</t>
        </is>
      </c>
      <c r="B9" t="inlineStr">
        <is>
          <t>Dependent value, pulled from another sheet</t>
        </is>
      </c>
    </row>
    <row r="10">
      <c r="A10" s="7" t="inlineStr">
        <is>
          <t xml:space="preserve">  LIGHT GREY</t>
        </is>
      </c>
      <c r="B10" t="inlineStr">
        <is>
          <t>Total or subtotal</t>
        </is>
      </c>
    </row>
    <row r="11">
      <c r="A11" s="8" t="inlineStr">
        <is>
          <t xml:space="preserve">  LIGHT RED</t>
        </is>
      </c>
      <c r="B11" t="inlineStr">
        <is>
          <t>A check that must read zero</t>
        </is>
      </c>
    </row>
    <row r="13">
      <c r="A13" s="2" t="inlineStr">
        <is>
          <t>SHEETS</t>
        </is>
      </c>
    </row>
    <row r="14">
      <c r="A14" s="9" t="inlineStr">
        <is>
          <t>INPUTS</t>
        </is>
      </c>
    </row>
    <row r="15">
      <c r="A15" s="10" t="inlineStr">
        <is>
          <t>Assumptions</t>
        </is>
      </c>
      <c r="B15" t="inlineStr">
        <is>
          <t>Every input and assumption taken into consideration</t>
        </is>
      </c>
    </row>
    <row r="17">
      <c r="A17" s="9" t="inlineStr">
        <is>
          <t>BUILD-UP</t>
        </is>
      </c>
    </row>
    <row r="18">
      <c r="A18" s="10" t="inlineStr">
        <is>
          <t>Drivers</t>
        </is>
      </c>
      <c r="B18" t="inlineStr">
        <is>
          <t>Athletes and fans, including monthly cohort churn</t>
        </is>
      </c>
    </row>
    <row r="19">
      <c r="A19" s="10" t="inlineStr">
        <is>
          <t>Revenue</t>
        </is>
      </c>
      <c r="B19" t="inlineStr">
        <is>
          <t>GMV and net revenue, stream by stream</t>
        </is>
      </c>
    </row>
    <row r="20">
      <c r="A20" s="10" t="inlineStr">
        <is>
          <t>Costs</t>
        </is>
      </c>
      <c r="B20" t="inlineStr">
        <is>
          <t>COGS and operating costs, line by line</t>
        </is>
      </c>
    </row>
    <row r="21">
      <c r="A21" s="10" t="inlineStr">
        <is>
          <t>WorkingCap</t>
        </is>
      </c>
      <c r="B21" t="inlineStr">
        <is>
          <t>Receivables, payables, athlete float, capex, D&amp;A</t>
        </is>
      </c>
    </row>
    <row r="23">
      <c r="A23" s="9" t="inlineStr">
        <is>
          <t>THE THREE FINANCIAL STATEMENTS</t>
        </is>
      </c>
    </row>
    <row r="24">
      <c r="A24" s="10" t="inlineStr">
        <is>
          <t>P&amp;L</t>
        </is>
      </c>
      <c r="B24" t="inlineStr">
        <is>
          <t>Income statement</t>
        </is>
      </c>
    </row>
    <row r="25">
      <c r="A25" s="10" t="inlineStr">
        <is>
          <t>CashFlow</t>
        </is>
      </c>
      <c r="B25" t="inlineStr">
        <is>
          <t>Cash flow statement, indirect method, tying to closing cash</t>
        </is>
      </c>
    </row>
    <row r="26">
      <c r="A26" s="10" t="inlineStr">
        <is>
          <t>BalanceSheet</t>
        </is>
      </c>
      <c r="B26" t="inlineStr">
        <is>
          <t>Balance sheet, with an explicit check row so it must balance</t>
        </is>
      </c>
    </row>
    <row r="28">
      <c r="A28" s="9" t="inlineStr">
        <is>
          <t>VALUATION AND FUNDING</t>
        </is>
      </c>
    </row>
    <row r="29">
      <c r="A29" s="10" t="inlineStr">
        <is>
          <t>Valuation</t>
        </is>
      </c>
      <c r="B29" t="inlineStr">
        <is>
          <t>DCF, NPV, IRR, exit multiples, sensitivity</t>
        </is>
      </c>
    </row>
    <row r="30">
      <c r="A30" s="10" t="inlineStr">
        <is>
          <t>Funding</t>
        </is>
      </c>
      <c r="B30" t="inlineStr">
        <is>
          <t>Funding rounds, dilution, ownership shares</t>
        </is>
      </c>
    </row>
    <row r="32">
      <c r="A32" s="9" t="inlineStr">
        <is>
          <t>OPERATING PLANS</t>
        </is>
      </c>
    </row>
    <row r="33">
      <c r="A33" s="10" t="inlineStr">
        <is>
          <t>HiringPlan</t>
        </is>
      </c>
      <c r="B33" t="inlineStr">
        <is>
          <t>Headcount by role, at Spanish loaded salaries</t>
        </is>
      </c>
    </row>
    <row r="34">
      <c r="A34" s="10" t="inlineStr">
        <is>
          <t>CAC_CLV</t>
        </is>
      </c>
      <c r="B34" t="inlineStr">
        <is>
          <t>Acquisition cost against lifetime value</t>
        </is>
      </c>
    </row>
    <row r="35">
      <c r="A35" s="10" t="inlineStr">
        <is>
          <t>KPIs</t>
        </is>
      </c>
      <c r="B35" t="inlineStr">
        <is>
          <t>Scale, quality of revenue, efficiency</t>
        </is>
      </c>
    </row>
    <row r="37">
      <c r="A37" s="9" t="inlineStr">
        <is>
          <t>CONTROL</t>
        </is>
      </c>
    </row>
    <row r="38">
      <c r="A38" s="10" t="inlineStr">
        <is>
          <t>Check</t>
        </is>
      </c>
      <c r="B38" t="inlineStr">
        <is>
          <t>Internal quality checks. Every variance row must read zero</t>
        </is>
      </c>
    </row>
    <row r="40">
      <c r="A40" s="9" t="inlineStr">
        <is>
          <t>APPENDIX: RESEARCH AND MODELLING</t>
        </is>
      </c>
    </row>
    <row r="41">
      <c r="A41" s="10" t="inlineStr">
        <is>
          <t>Comparables</t>
        </is>
      </c>
      <c r="B41" t="inlineStr">
        <is>
          <t>Published facts about Patreon, Passes and agents. The benchmarking source</t>
        </is>
      </c>
    </row>
    <row r="42">
      <c r="A42" s="10" t="inlineStr">
        <is>
          <t>MarketModel</t>
        </is>
      </c>
      <c r="B42" t="inlineStr">
        <is>
          <t>Modelled assumptions, per market dynamics</t>
        </is>
      </c>
    </row>
    <row r="43">
      <c r="A43" s="10" t="inlineStr">
        <is>
          <t>Research</t>
        </is>
      </c>
      <c r="B43" t="inlineStr">
        <is>
          <t>Where each baseline assumption came from, and how confident it is</t>
        </is>
      </c>
    </row>
  </sheetData>
  <hyperlinks>
    <hyperlink xmlns:r="http://schemas.openxmlformats.org/officeDocument/2006/relationships" ref="A15" r:id="rId1"/>
    <hyperlink xmlns:r="http://schemas.openxmlformats.org/officeDocument/2006/relationships" ref="A18" r:id="rId2"/>
    <hyperlink xmlns:r="http://schemas.openxmlformats.org/officeDocument/2006/relationships" ref="A19" r:id="rId3"/>
    <hyperlink xmlns:r="http://schemas.openxmlformats.org/officeDocument/2006/relationships" ref="A20" r:id="rId4"/>
    <hyperlink xmlns:r="http://schemas.openxmlformats.org/officeDocument/2006/relationships" ref="A21" r:id="rId5"/>
    <hyperlink xmlns:r="http://schemas.openxmlformats.org/officeDocument/2006/relationships" ref="A24" r:id="rId6"/>
    <hyperlink xmlns:r="http://schemas.openxmlformats.org/officeDocument/2006/relationships" ref="A25" r:id="rId7"/>
    <hyperlink xmlns:r="http://schemas.openxmlformats.org/officeDocument/2006/relationships" ref="A26" r:id="rId8"/>
    <hyperlink xmlns:r="http://schemas.openxmlformats.org/officeDocument/2006/relationships" ref="A29" r:id="rId9"/>
    <hyperlink xmlns:r="http://schemas.openxmlformats.org/officeDocument/2006/relationships" ref="A30" r:id="rId10"/>
    <hyperlink xmlns:r="http://schemas.openxmlformats.org/officeDocument/2006/relationships" ref="A33" r:id="rId11"/>
    <hyperlink xmlns:r="http://schemas.openxmlformats.org/officeDocument/2006/relationships" ref="A34" r:id="rId12"/>
    <hyperlink xmlns:r="http://schemas.openxmlformats.org/officeDocument/2006/relationships" ref="A35" r:id="rId13"/>
    <hyperlink xmlns:r="http://schemas.openxmlformats.org/officeDocument/2006/relationships" ref="A38" r:id="rId14"/>
    <hyperlink xmlns:r="http://schemas.openxmlformats.org/officeDocument/2006/relationships" ref="A41" r:id="rId15"/>
    <hyperlink xmlns:r="http://schemas.openxmlformats.org/officeDocument/2006/relationships" ref="A42" r:id="rId16"/>
    <hyperlink xmlns:r="http://schemas.openxmlformats.org/officeDocument/2006/relationships" ref="A43"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Assumptions, every input lives here</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MARKET: the plan's shape</t>
        </is>
      </c>
      <c r="B4" s="20" t="n"/>
      <c r="C4" s="20" t="n"/>
      <c r="D4" s="20" t="n"/>
      <c r="E4" s="20" t="n"/>
      <c r="F4" s="20" t="n"/>
      <c r="G4" s="20" t="n"/>
      <c r="H4" s="20" t="n"/>
      <c r="I4" s="20" t="n"/>
      <c r="J4" s="20" t="n"/>
      <c r="K4" s="20" t="n"/>
      <c r="L4" s="20" t="n"/>
    </row>
    <row r="5">
      <c r="A5" s="21" t="inlineStr">
        <is>
          <t>Active athletes (year end)</t>
        </is>
      </c>
      <c r="B5" s="22" t="inlineStr">
        <is>
          <t>count</t>
        </is>
      </c>
      <c r="C5" s="23" t="n">
        <v>400</v>
      </c>
      <c r="D5" s="23" t="n">
        <v>1200</v>
      </c>
      <c r="E5" s="23" t="n">
        <v>3000</v>
      </c>
      <c r="F5" s="23" t="n">
        <v>6000</v>
      </c>
      <c r="G5" s="23" t="n">
        <v>10500</v>
      </c>
      <c r="H5" s="23" t="n">
        <v>16000</v>
      </c>
      <c r="I5" s="23" t="n">
        <v>22000</v>
      </c>
      <c r="J5" s="23" t="n">
        <v>28000</v>
      </c>
      <c r="K5" s="23" t="n">
        <v>34000</v>
      </c>
      <c r="L5" s="23" t="n">
        <v>40000</v>
      </c>
    </row>
    <row r="6">
      <c r="A6" s="21" t="inlineStr">
        <is>
          <t>Niche share of athletes</t>
        </is>
      </c>
      <c r="B6" s="22" t="inlineStr">
        <is>
          <t>%</t>
        </is>
      </c>
      <c r="C6" s="24" t="n">
        <v>0.95</v>
      </c>
      <c r="D6" s="24" t="n">
        <v>0.92</v>
      </c>
      <c r="E6" s="24" t="n">
        <v>0.8</v>
      </c>
      <c r="F6" s="24" t="n">
        <v>0.68</v>
      </c>
      <c r="G6" s="24" t="n">
        <v>0.58</v>
      </c>
      <c r="H6" s="24" t="n">
        <v>0.5</v>
      </c>
      <c r="I6" s="24" t="n">
        <v>0.45</v>
      </c>
      <c r="J6" s="24" t="n">
        <v>0.43</v>
      </c>
      <c r="K6" s="24" t="n">
        <v>0.42</v>
      </c>
      <c r="L6" s="24" t="n">
        <v>0.41</v>
      </c>
    </row>
    <row r="7">
      <c r="A7" s="21" t="inlineStr">
        <is>
          <t>Athletes needed for full SaaS value</t>
        </is>
      </c>
      <c r="B7" s="22" t="inlineStr">
        <is>
          <t>count</t>
        </is>
      </c>
      <c r="C7" s="23" t="n">
        <v>2000</v>
      </c>
      <c r="D7" s="25">
        <f>C7</f>
        <v/>
      </c>
      <c r="E7" s="25">
        <f>C7</f>
        <v/>
      </c>
      <c r="F7" s="25">
        <f>C7</f>
        <v/>
      </c>
      <c r="G7" s="25">
        <f>C7</f>
        <v/>
      </c>
      <c r="H7" s="25">
        <f>C7</f>
        <v/>
      </c>
      <c r="I7" s="25">
        <f>C7</f>
        <v/>
      </c>
      <c r="J7" s="25">
        <f>C7</f>
        <v/>
      </c>
      <c r="K7" s="25">
        <f>C7</f>
        <v/>
      </c>
      <c r="L7" s="25">
        <f>C7</f>
        <v/>
      </c>
      <c r="N7" s="26" t="inlineStr">
        <is>
          <t>Below this, sponsor conversion scales with supply, a matching product is worth nothing against an empty directory</t>
        </is>
      </c>
    </row>
    <row r="9">
      <c r="A9" s="19" t="inlineStr">
        <is>
          <t>SEGMENT: NICHE</t>
        </is>
      </c>
      <c r="B9" s="20" t="n"/>
      <c r="C9" s="20" t="n"/>
      <c r="D9" s="20" t="n"/>
      <c r="E9" s="20" t="n"/>
      <c r="F9" s="20" t="n"/>
      <c r="G9" s="20" t="n"/>
      <c r="H9" s="20" t="n"/>
      <c r="I9" s="20" t="n"/>
      <c r="J9" s="20" t="n"/>
      <c r="K9" s="20" t="n"/>
      <c r="L9" s="20" t="n"/>
    </row>
    <row r="10">
      <c r="A10" s="21" t="inlineStr">
        <is>
          <t>Monetising athletes (niche)</t>
        </is>
      </c>
      <c r="B10" s="22" t="inlineStr">
        <is>
          <t>% of segment</t>
        </is>
      </c>
      <c r="C10" s="24" t="n">
        <v>0.28</v>
      </c>
      <c r="D10" s="24" t="n">
        <v>0.32</v>
      </c>
      <c r="E10" s="24" t="n">
        <v>0.37</v>
      </c>
      <c r="F10" s="24" t="n">
        <v>0.41</v>
      </c>
      <c r="G10" s="24" t="n">
        <v>0.44</v>
      </c>
      <c r="H10" s="24" t="n">
        <v>0.46</v>
      </c>
      <c r="I10" s="24" t="n">
        <v>0.48</v>
      </c>
      <c r="J10" s="24" t="n">
        <v>0.49</v>
      </c>
      <c r="K10" s="24" t="n">
        <v>0.5</v>
      </c>
      <c r="L10" s="24" t="n">
        <v>0.5</v>
      </c>
    </row>
    <row r="11">
      <c r="A11" s="21" t="inlineStr">
        <is>
          <t>Paying fans per monetising athlete (niche)</t>
        </is>
      </c>
      <c r="B11" s="22" t="inlineStr">
        <is>
          <t>count</t>
        </is>
      </c>
      <c r="C11" s="23" t="n">
        <v>20</v>
      </c>
      <c r="D11" s="23" t="n">
        <v>22</v>
      </c>
      <c r="E11" s="23" t="n">
        <v>25</v>
      </c>
      <c r="F11" s="23" t="n">
        <v>28</v>
      </c>
      <c r="G11" s="23" t="n">
        <v>30</v>
      </c>
      <c r="H11" s="23" t="n">
        <v>32</v>
      </c>
      <c r="I11" s="23" t="n">
        <v>34</v>
      </c>
      <c r="J11" s="23" t="n">
        <v>35</v>
      </c>
      <c r="K11" s="23" t="n">
        <v>36</v>
      </c>
      <c r="L11" s="23" t="n">
        <v>37</v>
      </c>
      <c r="N11" s="27" t="inlineStr">
        <is>
          <t>derived on MarketModel from Patreon members-per-creator</t>
        </is>
      </c>
    </row>
    <row r="12">
      <c r="A12" s="21" t="inlineStr">
        <is>
          <t>Fan ARPU per month (niche)</t>
        </is>
      </c>
      <c r="B12" s="22" t="inlineStr">
        <is>
          <t>EUR</t>
        </is>
      </c>
      <c r="C12" s="28" t="n">
        <v>8</v>
      </c>
      <c r="D12" s="28" t="n">
        <v>8.300000000000001</v>
      </c>
      <c r="E12" s="28" t="n">
        <v>8.6</v>
      </c>
      <c r="F12" s="28" t="n">
        <v>8.800000000000001</v>
      </c>
      <c r="G12" s="28" t="n">
        <v>9</v>
      </c>
      <c r="H12" s="28" t="n">
        <v>9.1</v>
      </c>
      <c r="I12" s="28" t="n">
        <v>9.199999999999999</v>
      </c>
      <c r="J12" s="28" t="n">
        <v>9.300000000000001</v>
      </c>
      <c r="K12" s="28" t="n">
        <v>9.4</v>
      </c>
      <c r="L12" s="28" t="n">
        <v>9.5</v>
      </c>
      <c r="N12" s="27" t="inlineStr">
        <is>
          <t>derived on MarketModel from our tier mix, cross-checked against Patreon</t>
        </is>
      </c>
    </row>
    <row r="13">
      <c r="A13" s="21" t="inlineStr">
        <is>
          <t>Fan churn per month (niche)</t>
        </is>
      </c>
      <c r="B13" s="22" t="inlineStr">
        <is>
          <t>%</t>
        </is>
      </c>
      <c r="C13" s="24" t="n">
        <v>0.09</v>
      </c>
      <c r="D13" s="24" t="n">
        <v>0.08500000000000001</v>
      </c>
      <c r="E13" s="24" t="n">
        <v>0.08</v>
      </c>
      <c r="F13" s="24" t="n">
        <v>0.075</v>
      </c>
      <c r="G13" s="24" t="n">
        <v>0.07000000000000001</v>
      </c>
      <c r="H13" s="24" t="n">
        <v>0.065</v>
      </c>
      <c r="I13" s="24" t="n">
        <v>0.06</v>
      </c>
      <c r="J13" s="24" t="n">
        <v>0.058</v>
      </c>
      <c r="K13" s="24" t="n">
        <v>0.056</v>
      </c>
      <c r="L13" s="24" t="n">
        <v>0.055</v>
      </c>
      <c r="N13" s="27" t="inlineStr">
        <is>
          <t>derived on MarketModel from Patreon churn and our annual-plan mix</t>
        </is>
      </c>
    </row>
    <row r="14">
      <c r="A14" s="21" t="inlineStr">
        <is>
          <t>Athlete churn per year (niche)</t>
        </is>
      </c>
      <c r="B14" s="22" t="inlineStr">
        <is>
          <t>%</t>
        </is>
      </c>
      <c r="C14" s="24" t="n">
        <v>0.3</v>
      </c>
      <c r="D14" s="24" t="n">
        <v>0.27</v>
      </c>
      <c r="E14" s="24" t="n">
        <v>0.24</v>
      </c>
      <c r="F14" s="24" t="n">
        <v>0.22</v>
      </c>
      <c r="G14" s="24" t="n">
        <v>0.2</v>
      </c>
      <c r="H14" s="24" t="n">
        <v>0.19</v>
      </c>
      <c r="I14" s="24" t="n">
        <v>0.18</v>
      </c>
      <c r="J14" s="24" t="n">
        <v>0.17</v>
      </c>
      <c r="K14" s="24" t="n">
        <v>0.16</v>
      </c>
      <c r="L14" s="24" t="n">
        <v>0.16</v>
      </c>
    </row>
    <row r="15">
      <c r="A15" s="21" t="inlineStr">
        <is>
          <t>Max new fans per athlete per year (niche)</t>
        </is>
      </c>
      <c r="B15" s="22" t="inlineStr">
        <is>
          <t>capacity ceiling</t>
        </is>
      </c>
      <c r="C15" s="23" t="n">
        <v>30</v>
      </c>
      <c r="D15" s="23" t="n">
        <v>33</v>
      </c>
      <c r="E15" s="23" t="n">
        <v>36</v>
      </c>
      <c r="F15" s="23" t="n">
        <v>40</v>
      </c>
      <c r="G15" s="23" t="n">
        <v>43</v>
      </c>
      <c r="H15" s="23" t="n">
        <v>45</v>
      </c>
      <c r="I15" s="23" t="n">
        <v>47</v>
      </c>
      <c r="J15" s="23" t="n">
        <v>49</v>
      </c>
      <c r="K15" s="23" t="n">
        <v>50</v>
      </c>
      <c r="L15" s="23" t="n">
        <v>52</v>
      </c>
      <c r="N15" s="26" t="inlineStr">
        <is>
          <t>An audience is finite; without this ceiling higher churn RAISES revenue</t>
        </is>
      </c>
    </row>
    <row r="16">
      <c r="A16" s="21" t="inlineStr">
        <is>
          <t>Athletes landing a deal (niche)</t>
        </is>
      </c>
      <c r="B16" s="22" t="inlineStr">
        <is>
          <t>% of segment</t>
        </is>
      </c>
      <c r="C16" s="24" t="n">
        <v>0.05</v>
      </c>
      <c r="D16" s="24" t="n">
        <v>0.07000000000000001</v>
      </c>
      <c r="E16" s="24" t="n">
        <v>0.09</v>
      </c>
      <c r="F16" s="24" t="n">
        <v>0.11</v>
      </c>
      <c r="G16" s="24" t="n">
        <v>0.13</v>
      </c>
      <c r="H16" s="24" t="n">
        <v>0.15</v>
      </c>
      <c r="I16" s="24" t="n">
        <v>0.16</v>
      </c>
      <c r="J16" s="24" t="n">
        <v>0.17</v>
      </c>
      <c r="K16" s="24" t="n">
        <v>0.17</v>
      </c>
      <c r="L16" s="24" t="n">
        <v>0.18</v>
      </c>
    </row>
    <row r="17">
      <c r="A17" s="21" t="inlineStr">
        <is>
          <t>Deals per dealing athlete (niche)</t>
        </is>
      </c>
      <c r="B17" s="22" t="inlineStr">
        <is>
          <t>count</t>
        </is>
      </c>
      <c r="C17" s="29" t="n">
        <v>1.1</v>
      </c>
      <c r="D17" s="29" t="n">
        <v>1.2</v>
      </c>
      <c r="E17" s="29" t="n">
        <v>1.3</v>
      </c>
      <c r="F17" s="29" t="n">
        <v>1.5</v>
      </c>
      <c r="G17" s="29" t="n">
        <v>1.6</v>
      </c>
      <c r="H17" s="29" t="n">
        <v>1.7</v>
      </c>
      <c r="I17" s="29" t="n">
        <v>1.8</v>
      </c>
      <c r="J17" s="29" t="n">
        <v>1.9</v>
      </c>
      <c r="K17" s="29" t="n">
        <v>1.9</v>
      </c>
      <c r="L17" s="29" t="n">
        <v>2</v>
      </c>
    </row>
    <row r="18">
      <c r="A18" s="21" t="inlineStr">
        <is>
          <t>Average deal value (niche)</t>
        </is>
      </c>
      <c r="B18" s="22" t="inlineStr">
        <is>
          <t>EUR</t>
        </is>
      </c>
      <c r="C18" s="30" t="n">
        <v>900</v>
      </c>
      <c r="D18" s="30" t="n">
        <v>1050</v>
      </c>
      <c r="E18" s="30" t="n">
        <v>1200</v>
      </c>
      <c r="F18" s="30" t="n">
        <v>1350</v>
      </c>
      <c r="G18" s="30" t="n">
        <v>1500</v>
      </c>
      <c r="H18" s="30" t="n">
        <v>1600</v>
      </c>
      <c r="I18" s="30" t="n">
        <v>1700</v>
      </c>
      <c r="J18" s="30" t="n">
        <v>1800</v>
      </c>
      <c r="K18" s="30" t="n">
        <v>1900</v>
      </c>
      <c r="L18" s="30" t="n">
        <v>2000</v>
      </c>
    </row>
    <row r="19">
      <c r="A19" s="21" t="inlineStr">
        <is>
          <t>Athlete CAC (niche)</t>
        </is>
      </c>
      <c r="B19" s="22" t="inlineStr">
        <is>
          <t>EUR</t>
        </is>
      </c>
      <c r="C19" s="30" t="n">
        <v>16</v>
      </c>
      <c r="D19" s="30" t="n">
        <v>18</v>
      </c>
      <c r="E19" s="30" t="n">
        <v>21</v>
      </c>
      <c r="F19" s="30" t="n">
        <v>24</v>
      </c>
      <c r="G19" s="30" t="n">
        <v>27</v>
      </c>
      <c r="H19" s="30" t="n">
        <v>30</v>
      </c>
      <c r="I19" s="30" t="n">
        <v>32</v>
      </c>
      <c r="J19" s="30" t="n">
        <v>34</v>
      </c>
      <c r="K19" s="30" t="n">
        <v>35</v>
      </c>
      <c r="L19" s="30" t="n">
        <v>36</v>
      </c>
    </row>
    <row r="21">
      <c r="A21" s="19" t="inlineStr">
        <is>
          <t>SEGMENT: POPULAR</t>
        </is>
      </c>
      <c r="B21" s="20" t="n"/>
      <c r="C21" s="20" t="n"/>
      <c r="D21" s="20" t="n"/>
      <c r="E21" s="20" t="n"/>
      <c r="F21" s="20" t="n"/>
      <c r="G21" s="20" t="n"/>
      <c r="H21" s="20" t="n"/>
      <c r="I21" s="20" t="n"/>
      <c r="J21" s="20" t="n"/>
      <c r="K21" s="20" t="n"/>
      <c r="L21" s="20" t="n"/>
    </row>
    <row r="22">
      <c r="A22" s="21" t="inlineStr">
        <is>
          <t>Monetising athletes (popular)</t>
        </is>
      </c>
      <c r="B22" s="22" t="inlineStr">
        <is>
          <t>% of segment</t>
        </is>
      </c>
      <c r="C22" s="24" t="n">
        <v>0.14</v>
      </c>
      <c r="D22" s="24" t="n">
        <v>0.17</v>
      </c>
      <c r="E22" s="24" t="n">
        <v>0.2</v>
      </c>
      <c r="F22" s="24" t="n">
        <v>0.23</v>
      </c>
      <c r="G22" s="24" t="n">
        <v>0.26</v>
      </c>
      <c r="H22" s="24" t="n">
        <v>0.28</v>
      </c>
      <c r="I22" s="24" t="n">
        <v>0.3</v>
      </c>
      <c r="J22" s="24" t="n">
        <v>0.31</v>
      </c>
      <c r="K22" s="24" t="n">
        <v>0.32</v>
      </c>
      <c r="L22" s="24" t="n">
        <v>0.32</v>
      </c>
    </row>
    <row r="23">
      <c r="A23" s="21" t="inlineStr">
        <is>
          <t>Paying fans per monetising athlete (popular)</t>
        </is>
      </c>
      <c r="B23" s="22" t="inlineStr">
        <is>
          <t>count</t>
        </is>
      </c>
      <c r="C23" s="23" t="n">
        <v>26</v>
      </c>
      <c r="D23" s="23" t="n">
        <v>29</v>
      </c>
      <c r="E23" s="23" t="n">
        <v>32</v>
      </c>
      <c r="F23" s="23" t="n">
        <v>35</v>
      </c>
      <c r="G23" s="23" t="n">
        <v>38</v>
      </c>
      <c r="H23" s="23" t="n">
        <v>41</v>
      </c>
      <c r="I23" s="23" t="n">
        <v>44</v>
      </c>
      <c r="J23" s="23" t="n">
        <v>46</v>
      </c>
      <c r="K23" s="23" t="n">
        <v>47</v>
      </c>
      <c r="L23" s="23" t="n">
        <v>48</v>
      </c>
      <c r="N23" s="27" t="inlineStr">
        <is>
          <t>derived on MarketModel from Patreon members-per-creator</t>
        </is>
      </c>
    </row>
    <row r="24">
      <c r="A24" s="21" t="inlineStr">
        <is>
          <t>Fan ARPU per month (popular)</t>
        </is>
      </c>
      <c r="B24" s="22" t="inlineStr">
        <is>
          <t>EUR</t>
        </is>
      </c>
      <c r="C24" s="28" t="n">
        <v>7</v>
      </c>
      <c r="D24" s="28" t="n">
        <v>7.2</v>
      </c>
      <c r="E24" s="28" t="n">
        <v>7.4</v>
      </c>
      <c r="F24" s="28" t="n">
        <v>7.6</v>
      </c>
      <c r="G24" s="28" t="n">
        <v>7.8</v>
      </c>
      <c r="H24" s="28" t="n">
        <v>7.9</v>
      </c>
      <c r="I24" s="28" t="n">
        <v>8</v>
      </c>
      <c r="J24" s="28" t="n">
        <v>8.1</v>
      </c>
      <c r="K24" s="28" t="n">
        <v>8.199999999999999</v>
      </c>
      <c r="L24" s="28" t="n">
        <v>8.300000000000001</v>
      </c>
      <c r="N24" s="27" t="inlineStr">
        <is>
          <t>derived on MarketModel from our tier mix, cross-checked against Patreon</t>
        </is>
      </c>
    </row>
    <row r="25">
      <c r="A25" s="21" t="inlineStr">
        <is>
          <t>Fan churn per month (popular)</t>
        </is>
      </c>
      <c r="B25" s="22" t="inlineStr">
        <is>
          <t>%</t>
        </is>
      </c>
      <c r="C25" s="24" t="n">
        <v>0.13</v>
      </c>
      <c r="D25" s="24" t="n">
        <v>0.125</v>
      </c>
      <c r="E25" s="24" t="n">
        <v>0.12</v>
      </c>
      <c r="F25" s="24" t="n">
        <v>0.11</v>
      </c>
      <c r="G25" s="24" t="n">
        <v>0.105</v>
      </c>
      <c r="H25" s="24" t="n">
        <v>0.1</v>
      </c>
      <c r="I25" s="24" t="n">
        <v>0.09</v>
      </c>
      <c r="J25" s="24" t="n">
        <v>0.08799999999999999</v>
      </c>
      <c r="K25" s="24" t="n">
        <v>0.08599999999999999</v>
      </c>
      <c r="L25" s="24" t="n">
        <v>0.08500000000000001</v>
      </c>
      <c r="N25" s="27" t="inlineStr">
        <is>
          <t>derived on MarketModel from Patreon churn and our annual-plan mix</t>
        </is>
      </c>
    </row>
    <row r="26">
      <c r="A26" s="21" t="inlineStr">
        <is>
          <t>Athlete churn per year (popular)</t>
        </is>
      </c>
      <c r="B26" s="22" t="inlineStr">
        <is>
          <t>%</t>
        </is>
      </c>
      <c r="C26" s="24" t="n">
        <v>0.35</v>
      </c>
      <c r="D26" s="24" t="n">
        <v>0.32</v>
      </c>
      <c r="E26" s="24" t="n">
        <v>0.3</v>
      </c>
      <c r="F26" s="24" t="n">
        <v>0.27</v>
      </c>
      <c r="G26" s="24" t="n">
        <v>0.25</v>
      </c>
      <c r="H26" s="24" t="n">
        <v>0.23</v>
      </c>
      <c r="I26" s="24" t="n">
        <v>0.22</v>
      </c>
      <c r="J26" s="24" t="n">
        <v>0.21</v>
      </c>
      <c r="K26" s="24" t="n">
        <v>0.21</v>
      </c>
      <c r="L26" s="24" t="n">
        <v>0.2</v>
      </c>
    </row>
    <row r="27">
      <c r="A27" s="21" t="inlineStr">
        <is>
          <t>Max new fans per athlete per year (popular)</t>
        </is>
      </c>
      <c r="B27" s="22" t="inlineStr">
        <is>
          <t>capacity ceiling</t>
        </is>
      </c>
      <c r="C27" s="23" t="n">
        <v>38</v>
      </c>
      <c r="D27" s="23" t="n">
        <v>42</v>
      </c>
      <c r="E27" s="23" t="n">
        <v>46</v>
      </c>
      <c r="F27" s="23" t="n">
        <v>50</v>
      </c>
      <c r="G27" s="23" t="n">
        <v>54</v>
      </c>
      <c r="H27" s="23" t="n">
        <v>58</v>
      </c>
      <c r="I27" s="23" t="n">
        <v>62</v>
      </c>
      <c r="J27" s="23" t="n">
        <v>65</v>
      </c>
      <c r="K27" s="23" t="n">
        <v>67</v>
      </c>
      <c r="L27" s="23" t="n">
        <v>69</v>
      </c>
      <c r="N27" s="26" t="inlineStr">
        <is>
          <t>An audience is finite; without this ceiling higher churn RAISES revenue</t>
        </is>
      </c>
    </row>
    <row r="28">
      <c r="A28" s="21" t="inlineStr">
        <is>
          <t>Athletes landing a deal (popular)</t>
        </is>
      </c>
      <c r="B28" s="22" t="inlineStr">
        <is>
          <t>% of segment</t>
        </is>
      </c>
      <c r="C28" s="24" t="n">
        <v>0.14</v>
      </c>
      <c r="D28" s="24" t="n">
        <v>0.17</v>
      </c>
      <c r="E28" s="24" t="n">
        <v>0.2</v>
      </c>
      <c r="F28" s="24" t="n">
        <v>0.24</v>
      </c>
      <c r="G28" s="24" t="n">
        <v>0.27</v>
      </c>
      <c r="H28" s="24" t="n">
        <v>0.29</v>
      </c>
      <c r="I28" s="24" t="n">
        <v>0.3</v>
      </c>
      <c r="J28" s="24" t="n">
        <v>0.31</v>
      </c>
      <c r="K28" s="24" t="n">
        <v>0.31</v>
      </c>
      <c r="L28" s="24" t="n">
        <v>0.32</v>
      </c>
    </row>
    <row r="29">
      <c r="A29" s="21" t="inlineStr">
        <is>
          <t>Deals per dealing athlete (popular)</t>
        </is>
      </c>
      <c r="B29" s="22" t="inlineStr">
        <is>
          <t>count</t>
        </is>
      </c>
      <c r="C29" s="29" t="n">
        <v>1.3</v>
      </c>
      <c r="D29" s="29" t="n">
        <v>1.5</v>
      </c>
      <c r="E29" s="29" t="n">
        <v>1.7</v>
      </c>
      <c r="F29" s="29" t="n">
        <v>1.9</v>
      </c>
      <c r="G29" s="29" t="n">
        <v>2.1</v>
      </c>
      <c r="H29" s="29" t="n">
        <v>2.3</v>
      </c>
      <c r="I29" s="29" t="n">
        <v>2.4</v>
      </c>
      <c r="J29" s="29" t="n">
        <v>2.5</v>
      </c>
      <c r="K29" s="29" t="n">
        <v>2.5</v>
      </c>
      <c r="L29" s="29" t="n">
        <v>2.6</v>
      </c>
    </row>
    <row r="30">
      <c r="A30" s="21" t="inlineStr">
        <is>
          <t>Average deal value (popular)</t>
        </is>
      </c>
      <c r="B30" s="22" t="inlineStr">
        <is>
          <t>EUR</t>
        </is>
      </c>
      <c r="C30" s="30" t="n">
        <v>2200</v>
      </c>
      <c r="D30" s="30" t="n">
        <v>2500</v>
      </c>
      <c r="E30" s="30" t="n">
        <v>2800</v>
      </c>
      <c r="F30" s="30" t="n">
        <v>3100</v>
      </c>
      <c r="G30" s="30" t="n">
        <v>3400</v>
      </c>
      <c r="H30" s="30" t="n">
        <v>3700</v>
      </c>
      <c r="I30" s="30" t="n">
        <v>4000</v>
      </c>
      <c r="J30" s="30" t="n">
        <v>4200</v>
      </c>
      <c r="K30" s="30" t="n">
        <v>4400</v>
      </c>
      <c r="L30" s="30" t="n">
        <v>4600</v>
      </c>
    </row>
    <row r="31">
      <c r="A31" s="21" t="inlineStr">
        <is>
          <t>Athlete CAC (popular)</t>
        </is>
      </c>
      <c r="B31" s="22" t="inlineStr">
        <is>
          <t>EUR</t>
        </is>
      </c>
      <c r="C31" s="30" t="n">
        <v>40</v>
      </c>
      <c r="D31" s="30" t="n">
        <v>46</v>
      </c>
      <c r="E31" s="30" t="n">
        <v>53</v>
      </c>
      <c r="F31" s="30" t="n">
        <v>60</v>
      </c>
      <c r="G31" s="30" t="n">
        <v>67</v>
      </c>
      <c r="H31" s="30" t="n">
        <v>73</v>
      </c>
      <c r="I31" s="30" t="n">
        <v>78</v>
      </c>
      <c r="J31" s="30" t="n">
        <v>82</v>
      </c>
      <c r="K31" s="30" t="n">
        <v>85</v>
      </c>
      <c r="L31" s="30" t="n">
        <v>88</v>
      </c>
    </row>
    <row r="33">
      <c r="A33" s="19" t="inlineStr">
        <is>
          <t>SPONSORS</t>
        </is>
      </c>
      <c r="B33" s="20" t="n"/>
      <c r="C33" s="20" t="n"/>
      <c r="D33" s="20" t="n"/>
      <c r="E33" s="20" t="n"/>
      <c r="F33" s="20" t="n"/>
      <c r="G33" s="20" t="n"/>
      <c r="H33" s="20" t="n"/>
      <c r="I33" s="20" t="n"/>
      <c r="J33" s="20" t="n"/>
      <c r="K33" s="20" t="n"/>
      <c r="L33" s="20" t="n"/>
    </row>
    <row r="34">
      <c r="A34" s="21" t="inlineStr">
        <is>
          <t>Registered sponsors</t>
        </is>
      </c>
      <c r="B34" s="22" t="inlineStr">
        <is>
          <t>count</t>
        </is>
      </c>
      <c r="C34" s="23" t="n">
        <v>25</v>
      </c>
      <c r="D34" s="23" t="n">
        <v>90</v>
      </c>
      <c r="E34" s="23" t="n">
        <v>230</v>
      </c>
      <c r="F34" s="23" t="n">
        <v>500</v>
      </c>
      <c r="G34" s="23" t="n">
        <v>900</v>
      </c>
      <c r="H34" s="23" t="n">
        <v>1400</v>
      </c>
      <c r="I34" s="23" t="n">
        <v>2000</v>
      </c>
      <c r="J34" s="23" t="n">
        <v>2600</v>
      </c>
      <c r="K34" s="23" t="n">
        <v>3100</v>
      </c>
      <c r="L34" s="23" t="n">
        <v>3600</v>
      </c>
    </row>
    <row r="35">
      <c r="A35" s="21" t="inlineStr">
        <is>
          <t>Share on a paid plan</t>
        </is>
      </c>
      <c r="B35" s="22" t="inlineStr">
        <is>
          <t>%</t>
        </is>
      </c>
      <c r="C35" s="24" t="n">
        <v>0.1</v>
      </c>
      <c r="D35" s="24" t="n">
        <v>0.14</v>
      </c>
      <c r="E35" s="24" t="n">
        <v>0.17</v>
      </c>
      <c r="F35" s="24" t="n">
        <v>0.19</v>
      </c>
      <c r="G35" s="24" t="n">
        <v>0.2</v>
      </c>
      <c r="H35" s="24" t="n">
        <v>0.2</v>
      </c>
      <c r="I35" s="24" t="n">
        <v>0.2</v>
      </c>
      <c r="J35" s="24" t="n">
        <v>0.2</v>
      </c>
      <c r="K35" s="24" t="n">
        <v>0.2</v>
      </c>
      <c r="L35" s="24" t="n">
        <v>0.2</v>
      </c>
    </row>
    <row r="36">
      <c r="A36" s="21" t="inlineStr">
        <is>
          <t>Sponsor plan ARPU per month</t>
        </is>
      </c>
      <c r="B36" s="22" t="inlineStr">
        <is>
          <t>EUR</t>
        </is>
      </c>
      <c r="C36" s="30" t="n">
        <v>199</v>
      </c>
      <c r="D36" s="30" t="n">
        <v>229</v>
      </c>
      <c r="E36" s="30" t="n">
        <v>260</v>
      </c>
      <c r="F36" s="30" t="n">
        <v>290</v>
      </c>
      <c r="G36" s="30" t="n">
        <v>320</v>
      </c>
      <c r="H36" s="30" t="n">
        <v>360</v>
      </c>
      <c r="I36" s="30" t="n">
        <v>400</v>
      </c>
      <c r="J36" s="30" t="n">
        <v>430</v>
      </c>
      <c r="K36" s="30" t="n">
        <v>455</v>
      </c>
      <c r="L36" s="30" t="n">
        <v>475</v>
      </c>
    </row>
    <row r="37">
      <c r="A37" s="21" t="inlineStr">
        <is>
          <t>Sponsor CAC</t>
        </is>
      </c>
      <c r="B37" s="22" t="inlineStr">
        <is>
          <t>EUR</t>
        </is>
      </c>
      <c r="C37" s="30" t="n">
        <v>900</v>
      </c>
      <c r="D37" s="30" t="n">
        <v>1050</v>
      </c>
      <c r="E37" s="30" t="n">
        <v>1200</v>
      </c>
      <c r="F37" s="30" t="n">
        <v>1400</v>
      </c>
      <c r="G37" s="30" t="n">
        <v>1600</v>
      </c>
      <c r="H37" s="30" t="n">
        <v>1750</v>
      </c>
      <c r="I37" s="30" t="n">
        <v>1900</v>
      </c>
      <c r="J37" s="30" t="n">
        <v>2000</v>
      </c>
      <c r="K37" s="30" t="n">
        <v>2100</v>
      </c>
      <c r="L37" s="30" t="n">
        <v>2200</v>
      </c>
    </row>
    <row r="39">
      <c r="A39" s="19" t="inlineStr">
        <is>
          <t>TAKE RATES &amp; PAYMENT RAILS</t>
        </is>
      </c>
      <c r="B39" s="20" t="n"/>
      <c r="C39" s="20" t="n"/>
      <c r="D39" s="20" t="n"/>
      <c r="E39" s="20" t="n"/>
      <c r="F39" s="20" t="n"/>
      <c r="G39" s="20" t="n"/>
      <c r="H39" s="20" t="n"/>
      <c r="I39" s="20" t="n"/>
      <c r="J39" s="20" t="n"/>
      <c r="K39" s="20" t="n"/>
      <c r="L39" s="20" t="n"/>
    </row>
    <row r="40">
      <c r="A40" s="21" t="inlineStr">
        <is>
          <t>Take rate: fan revenue</t>
        </is>
      </c>
      <c r="B40" s="22" t="inlineStr">
        <is>
          <t>%</t>
        </is>
      </c>
      <c r="C40" s="24" t="n">
        <v>0.15</v>
      </c>
      <c r="D40" s="31">
        <f>C40</f>
        <v/>
      </c>
      <c r="E40" s="31">
        <f>C40</f>
        <v/>
      </c>
      <c r="F40" s="31">
        <f>C40</f>
        <v/>
      </c>
      <c r="G40" s="31">
        <f>C40</f>
        <v/>
      </c>
      <c r="H40" s="31">
        <f>C40</f>
        <v/>
      </c>
      <c r="I40" s="31">
        <f>C40</f>
        <v/>
      </c>
      <c r="J40" s="31">
        <f>C40</f>
        <v/>
      </c>
      <c r="K40" s="31">
        <f>C40</f>
        <v/>
      </c>
      <c r="L40" s="31">
        <f>C40</f>
        <v/>
      </c>
      <c r="N40" s="26" t="inlineStr">
        <is>
          <t>Our pricing decision. OnlyFans/Fansly/Fanfix 20%, Passes 10% + $29/mo</t>
        </is>
      </c>
    </row>
    <row r="41">
      <c r="A41" s="21" t="inlineStr">
        <is>
          <t>Take rate: sponsorship, base</t>
        </is>
      </c>
      <c r="B41" s="22" t="inlineStr">
        <is>
          <t>%</t>
        </is>
      </c>
      <c r="C41" s="24" t="n">
        <v>0.1</v>
      </c>
      <c r="D41" s="31">
        <f>C41</f>
        <v/>
      </c>
      <c r="E41" s="31">
        <f>C41</f>
        <v/>
      </c>
      <c r="F41" s="31">
        <f>C41</f>
        <v/>
      </c>
      <c r="G41" s="31">
        <f>C41</f>
        <v/>
      </c>
      <c r="H41" s="31">
        <f>C41</f>
        <v/>
      </c>
      <c r="I41" s="31">
        <f>C41</f>
        <v/>
      </c>
      <c r="J41" s="31">
        <f>C41</f>
        <v/>
      </c>
      <c r="K41" s="31">
        <f>C41</f>
        <v/>
      </c>
      <c r="L41" s="31">
        <f>C41</f>
        <v/>
      </c>
      <c r="N41" s="26" t="inlineStr">
        <is>
          <t>Free and Starter plans. Agents take 10-20% of an endorsement</t>
        </is>
      </c>
    </row>
    <row r="42">
      <c r="A42" s="21" t="inlineStr">
        <is>
          <t>Take rate: sponsorship, Scout Pro</t>
        </is>
      </c>
      <c r="B42" s="22" t="inlineStr">
        <is>
          <t>%</t>
        </is>
      </c>
      <c r="C42" s="24" t="n">
        <v>0.07000000000000001</v>
      </c>
      <c r="D42" s="31">
        <f>C42</f>
        <v/>
      </c>
      <c r="E42" s="31">
        <f>C42</f>
        <v/>
      </c>
      <c r="F42" s="31">
        <f>C42</f>
        <v/>
      </c>
      <c r="G42" s="31">
        <f>C42</f>
        <v/>
      </c>
      <c r="H42" s="31">
        <f>C42</f>
        <v/>
      </c>
      <c r="I42" s="31">
        <f>C42</f>
        <v/>
      </c>
      <c r="J42" s="31">
        <f>C42</f>
        <v/>
      </c>
      <c r="K42" s="31">
        <f>C42</f>
        <v/>
      </c>
      <c r="L42" s="31">
        <f>C42</f>
        <v/>
      </c>
      <c r="N42" s="26" t="inlineStr">
        <is>
          <t>A sponsor paying for the tooling pays less on the deal</t>
        </is>
      </c>
    </row>
    <row r="43">
      <c r="A43" s="21" t="inlineStr">
        <is>
          <t>Take rate: sponsorship, Scout Agency</t>
        </is>
      </c>
      <c r="B43" s="22" t="inlineStr">
        <is>
          <t>%</t>
        </is>
      </c>
      <c r="C43" s="24" t="n">
        <v>0.05</v>
      </c>
      <c r="D43" s="31">
        <f>C43</f>
        <v/>
      </c>
      <c r="E43" s="31">
        <f>C43</f>
        <v/>
      </c>
      <c r="F43" s="31">
        <f>C43</f>
        <v/>
      </c>
      <c r="G43" s="31">
        <f>C43</f>
        <v/>
      </c>
      <c r="H43" s="31">
        <f>C43</f>
        <v/>
      </c>
      <c r="I43" s="31">
        <f>C43</f>
        <v/>
      </c>
      <c r="J43" s="31">
        <f>C43</f>
        <v/>
      </c>
      <c r="K43" s="31">
        <f>C43</f>
        <v/>
      </c>
      <c r="L43" s="31">
        <f>C43</f>
        <v/>
      </c>
      <c r="N43" s="26" t="inlineStr">
        <is>
          <t>The most committed tier. Half what an agent charges at the low end</t>
        </is>
      </c>
    </row>
    <row r="44">
      <c r="A44" s="21" t="inlineStr">
        <is>
          <t>Subscriber deal volume, multiple of average</t>
        </is>
      </c>
      <c r="B44" s="22" t="inlineStr">
        <is>
          <t>x</t>
        </is>
      </c>
      <c r="C44" s="32" t="n">
        <v>2</v>
      </c>
      <c r="D44" s="33">
        <f>C44</f>
        <v/>
      </c>
      <c r="E44" s="33">
        <f>C44</f>
        <v/>
      </c>
      <c r="F44" s="33">
        <f>C44</f>
        <v/>
      </c>
      <c r="G44" s="33">
        <f>C44</f>
        <v/>
      </c>
      <c r="H44" s="33">
        <f>C44</f>
        <v/>
      </c>
      <c r="I44" s="33">
        <f>C44</f>
        <v/>
      </c>
      <c r="J44" s="33">
        <f>C44</f>
        <v/>
      </c>
      <c r="K44" s="33">
        <f>C44</f>
        <v/>
      </c>
      <c r="L44" s="33">
        <f>C44</f>
        <v/>
      </c>
      <c r="N44" s="26" t="inlineStr">
        <is>
          <t>Subscribers buy campaign capacity, so they run more volume than the average sponsor. The only estimate in the tiering</t>
        </is>
      </c>
    </row>
    <row r="45">
      <c r="A45" s="21" t="inlineStr">
        <is>
          <t>Scout Starter price</t>
        </is>
      </c>
      <c r="B45" s="22" t="inlineStr">
        <is>
          <t>EUR/mo</t>
        </is>
      </c>
      <c r="C45" s="23" t="n">
        <v>99</v>
      </c>
      <c r="D45" s="25">
        <f>C45</f>
        <v/>
      </c>
      <c r="E45" s="25">
        <f>C45</f>
        <v/>
      </c>
      <c r="F45" s="25">
        <f>C45</f>
        <v/>
      </c>
      <c r="G45" s="25">
        <f>C45</f>
        <v/>
      </c>
      <c r="H45" s="25">
        <f>C45</f>
        <v/>
      </c>
      <c r="I45" s="25">
        <f>C45</f>
        <v/>
      </c>
      <c r="J45" s="25">
        <f>C45</f>
        <v/>
      </c>
      <c r="K45" s="25">
        <f>C45</f>
        <v/>
      </c>
      <c r="L45" s="25">
        <f>C45</f>
        <v/>
      </c>
    </row>
    <row r="46">
      <c r="A46" s="21" t="inlineStr">
        <is>
          <t>Scout Pro price</t>
        </is>
      </c>
      <c r="B46" s="22" t="inlineStr">
        <is>
          <t>EUR/mo</t>
        </is>
      </c>
      <c r="C46" s="23" t="n">
        <v>249</v>
      </c>
      <c r="D46" s="25">
        <f>C46</f>
        <v/>
      </c>
      <c r="E46" s="25">
        <f>C46</f>
        <v/>
      </c>
      <c r="F46" s="25">
        <f>C46</f>
        <v/>
      </c>
      <c r="G46" s="25">
        <f>C46</f>
        <v/>
      </c>
      <c r="H46" s="25">
        <f>C46</f>
        <v/>
      </c>
      <c r="I46" s="25">
        <f>C46</f>
        <v/>
      </c>
      <c r="J46" s="25">
        <f>C46</f>
        <v/>
      </c>
      <c r="K46" s="25">
        <f>C46</f>
        <v/>
      </c>
      <c r="L46" s="25">
        <f>C46</f>
        <v/>
      </c>
    </row>
    <row r="47">
      <c r="A47" s="21" t="inlineStr">
        <is>
          <t>Scout Agency price</t>
        </is>
      </c>
      <c r="B47" s="22" t="inlineStr">
        <is>
          <t>EUR/mo</t>
        </is>
      </c>
      <c r="C47" s="23" t="n">
        <v>999</v>
      </c>
      <c r="D47" s="25">
        <f>C47</f>
        <v/>
      </c>
      <c r="E47" s="25">
        <f>C47</f>
        <v/>
      </c>
      <c r="F47" s="25">
        <f>C47</f>
        <v/>
      </c>
      <c r="G47" s="25">
        <f>C47</f>
        <v/>
      </c>
      <c r="H47" s="25">
        <f>C47</f>
        <v/>
      </c>
      <c r="I47" s="25">
        <f>C47</f>
        <v/>
      </c>
      <c r="J47" s="25">
        <f>C47</f>
        <v/>
      </c>
      <c r="K47" s="25">
        <f>C47</f>
        <v/>
      </c>
      <c r="L47" s="25">
        <f>C47</f>
        <v/>
      </c>
    </row>
    <row r="48">
      <c r="A48" s="21" t="inlineStr">
        <is>
          <t>VAT on fan subscriptions</t>
        </is>
      </c>
      <c r="B48" s="22" t="inlineStr">
        <is>
          <t>%</t>
        </is>
      </c>
      <c r="C48" s="24" t="n">
        <v>0.21</v>
      </c>
      <c r="D48" s="31">
        <f>C48</f>
        <v/>
      </c>
      <c r="E48" s="31">
        <f>C48</f>
        <v/>
      </c>
      <c r="F48" s="31">
        <f>C48</f>
        <v/>
      </c>
      <c r="G48" s="31">
        <f>C48</f>
        <v/>
      </c>
      <c r="H48" s="31">
        <f>C48</f>
        <v/>
      </c>
      <c r="I48" s="31">
        <f>C48</f>
        <v/>
      </c>
      <c r="J48" s="31">
        <f>C48</f>
        <v/>
      </c>
      <c r="K48" s="31">
        <f>C48</f>
        <v/>
      </c>
      <c r="L48" s="31">
        <f>C48</f>
        <v/>
      </c>
      <c r="N48" s="26" t="inlineStr">
        <is>
          <t>Spain's rate. Fan prices are displayed VAT-inclusive, so the take applies to price/(1+VAT) while the processor charges on the price</t>
        </is>
      </c>
    </row>
    <row r="49">
      <c r="A49" s="21" t="inlineStr">
        <is>
          <t>PPV &amp; tips as multiple of subs</t>
        </is>
      </c>
      <c r="B49" s="22" t="inlineStr">
        <is>
          <t>x</t>
        </is>
      </c>
      <c r="C49" s="32" t="n">
        <v>0.35</v>
      </c>
      <c r="D49" s="33">
        <f>C49</f>
        <v/>
      </c>
      <c r="E49" s="33">
        <f>C49</f>
        <v/>
      </c>
      <c r="F49" s="33">
        <f>C49</f>
        <v/>
      </c>
      <c r="G49" s="33">
        <f>C49</f>
        <v/>
      </c>
      <c r="H49" s="33">
        <f>C49</f>
        <v/>
      </c>
      <c r="I49" s="33">
        <f>C49</f>
        <v/>
      </c>
      <c r="J49" s="33">
        <f>C49</f>
        <v/>
      </c>
      <c r="K49" s="33">
        <f>C49</f>
        <v/>
      </c>
      <c r="L49" s="33">
        <f>C49</f>
        <v/>
      </c>
    </row>
    <row r="50">
      <c r="A50" s="21" t="inlineStr">
        <is>
          <t>PSP percentage fee</t>
        </is>
      </c>
      <c r="B50" s="22" t="inlineStr">
        <is>
          <t>%</t>
        </is>
      </c>
      <c r="C50" s="34" t="n">
        <v>0.019</v>
      </c>
      <c r="D50" s="35">
        <f>C50</f>
        <v/>
      </c>
      <c r="E50" s="35">
        <f>C50</f>
        <v/>
      </c>
      <c r="F50" s="35">
        <f>C50</f>
        <v/>
      </c>
      <c r="G50" s="35">
        <f>C50</f>
        <v/>
      </c>
      <c r="H50" s="35">
        <f>C50</f>
        <v/>
      </c>
      <c r="I50" s="35">
        <f>C50</f>
        <v/>
      </c>
      <c r="J50" s="35">
        <f>C50</f>
        <v/>
      </c>
      <c r="K50" s="35">
        <f>C50</f>
        <v/>
      </c>
      <c r="L50" s="35">
        <f>C50</f>
        <v/>
      </c>
      <c r="N50" s="26" t="inlineStr">
        <is>
          <t>Stripe published pricing</t>
        </is>
      </c>
    </row>
    <row r="51">
      <c r="A51" s="21" t="inlineStr">
        <is>
          <t>PSP fixed fee per transaction</t>
        </is>
      </c>
      <c r="B51" s="22" t="inlineStr">
        <is>
          <t>EUR</t>
        </is>
      </c>
      <c r="C51" s="36" t="n">
        <v>0.25</v>
      </c>
      <c r="D51" s="37">
        <f>C51</f>
        <v/>
      </c>
      <c r="E51" s="37">
        <f>C51</f>
        <v/>
      </c>
      <c r="F51" s="37">
        <f>C51</f>
        <v/>
      </c>
      <c r="G51" s="37">
        <f>C51</f>
        <v/>
      </c>
      <c r="H51" s="37">
        <f>C51</f>
        <v/>
      </c>
      <c r="I51" s="37">
        <f>C51</f>
        <v/>
      </c>
      <c r="J51" s="37">
        <f>C51</f>
        <v/>
      </c>
      <c r="K51" s="37">
        <f>C51</f>
        <v/>
      </c>
      <c r="L51" s="37">
        <f>C51</f>
        <v/>
      </c>
      <c r="N51" s="26" t="inlineStr">
        <is>
          <t>Stripe. The single most damaging cost at small ticket sizes</t>
        </is>
      </c>
    </row>
    <row r="52">
      <c r="A52" s="21" t="inlineStr">
        <is>
          <t>Payout percentage fee</t>
        </is>
      </c>
      <c r="B52" s="22" t="inlineStr">
        <is>
          <t>%</t>
        </is>
      </c>
      <c r="C52" s="34" t="n">
        <v>0.0025</v>
      </c>
      <c r="D52" s="35">
        <f>C52</f>
        <v/>
      </c>
      <c r="E52" s="35">
        <f>C52</f>
        <v/>
      </c>
      <c r="F52" s="35">
        <f>C52</f>
        <v/>
      </c>
      <c r="G52" s="35">
        <f>C52</f>
        <v/>
      </c>
      <c r="H52" s="35">
        <f>C52</f>
        <v/>
      </c>
      <c r="I52" s="35">
        <f>C52</f>
        <v/>
      </c>
      <c r="J52" s="35">
        <f>C52</f>
        <v/>
      </c>
      <c r="K52" s="35">
        <f>C52</f>
        <v/>
      </c>
      <c r="L52" s="35">
        <f>C52</f>
        <v/>
      </c>
      <c r="N52" s="26" t="inlineStr">
        <is>
          <t>Stripe Connect</t>
        </is>
      </c>
    </row>
    <row r="53">
      <c r="A53" s="21" t="inlineStr">
        <is>
          <t>Payout fixed fee</t>
        </is>
      </c>
      <c r="B53" s="22" t="inlineStr">
        <is>
          <t>EUR</t>
        </is>
      </c>
      <c r="C53" s="36" t="n">
        <v>0.25</v>
      </c>
      <c r="D53" s="37">
        <f>C53</f>
        <v/>
      </c>
      <c r="E53" s="37">
        <f>C53</f>
        <v/>
      </c>
      <c r="F53" s="37">
        <f>C53</f>
        <v/>
      </c>
      <c r="G53" s="37">
        <f>C53</f>
        <v/>
      </c>
      <c r="H53" s="37">
        <f>C53</f>
        <v/>
      </c>
      <c r="I53" s="37">
        <f>C53</f>
        <v/>
      </c>
      <c r="J53" s="37">
        <f>C53</f>
        <v/>
      </c>
      <c r="K53" s="37">
        <f>C53</f>
        <v/>
      </c>
      <c r="L53" s="37">
        <f>C53</f>
        <v/>
      </c>
      <c r="N53" s="26" t="inlineStr">
        <is>
          <t>Stripe Connect</t>
        </is>
      </c>
    </row>
    <row r="54">
      <c r="A54" s="21" t="inlineStr">
        <is>
          <t>Average fan transaction</t>
        </is>
      </c>
      <c r="B54" s="22" t="inlineStr">
        <is>
          <t>EUR</t>
        </is>
      </c>
      <c r="C54" s="28" t="n">
        <v>9.199999999999999</v>
      </c>
      <c r="D54" s="37">
        <f>C54</f>
        <v/>
      </c>
      <c r="E54" s="37">
        <f>C54</f>
        <v/>
      </c>
      <c r="F54" s="37">
        <f>C54</f>
        <v/>
      </c>
      <c r="G54" s="37">
        <f>C54</f>
        <v/>
      </c>
      <c r="H54" s="37">
        <f>C54</f>
        <v/>
      </c>
      <c r="I54" s="37">
        <f>C54</f>
        <v/>
      </c>
      <c r="J54" s="37">
        <f>C54</f>
        <v/>
      </c>
      <c r="K54" s="37">
        <f>C54</f>
        <v/>
      </c>
      <c r="L54" s="37">
        <f>C54</f>
        <v/>
      </c>
    </row>
    <row r="55">
      <c r="A55" s="21" t="inlineStr">
        <is>
          <t>Average deal transaction</t>
        </is>
      </c>
      <c r="B55" s="22" t="inlineStr">
        <is>
          <t>EUR</t>
        </is>
      </c>
      <c r="C55" s="30" t="n">
        <v>1800</v>
      </c>
      <c r="D55" s="38">
        <f>C55</f>
        <v/>
      </c>
      <c r="E55" s="38">
        <f>C55</f>
        <v/>
      </c>
      <c r="F55" s="38">
        <f>C55</f>
        <v/>
      </c>
      <c r="G55" s="38">
        <f>C55</f>
        <v/>
      </c>
      <c r="H55" s="38">
        <f>C55</f>
        <v/>
      </c>
      <c r="I55" s="38">
        <f>C55</f>
        <v/>
      </c>
      <c r="J55" s="38">
        <f>C55</f>
        <v/>
      </c>
      <c r="K55" s="38">
        <f>C55</f>
        <v/>
      </c>
      <c r="L55" s="38">
        <f>C55</f>
        <v/>
      </c>
    </row>
    <row r="57">
      <c r="A57" s="19" t="inlineStr">
        <is>
          <t>INFRASTRUCTURE &amp; CONTENT COSTS</t>
        </is>
      </c>
      <c r="B57" s="20" t="n"/>
      <c r="C57" s="20" t="n"/>
      <c r="D57" s="20" t="n"/>
      <c r="E57" s="20" t="n"/>
      <c r="F57" s="20" t="n"/>
      <c r="G57" s="20" t="n"/>
      <c r="H57" s="20" t="n"/>
      <c r="I57" s="20" t="n"/>
      <c r="J57" s="20" t="n"/>
      <c r="K57" s="20" t="n"/>
      <c r="L57" s="20" t="n"/>
    </row>
    <row r="58">
      <c r="A58" s="21" t="inlineStr">
        <is>
          <t>AWS base cost per month</t>
        </is>
      </c>
      <c r="B58" s="22" t="inlineStr">
        <is>
          <t>EUR</t>
        </is>
      </c>
      <c r="C58" s="30" t="n">
        <v>180</v>
      </c>
      <c r="D58" s="30" t="n">
        <v>650</v>
      </c>
      <c r="E58" s="30" t="n">
        <v>2100</v>
      </c>
      <c r="F58" s="30" t="n">
        <v>5400</v>
      </c>
      <c r="G58" s="30" t="n">
        <v>11000</v>
      </c>
      <c r="H58" s="30" t="n">
        <v>17000</v>
      </c>
      <c r="I58" s="30" t="n">
        <v>24000</v>
      </c>
      <c r="J58" s="30" t="n">
        <v>30000</v>
      </c>
      <c r="K58" s="30" t="n">
        <v>35000</v>
      </c>
      <c r="L58" s="30" t="n">
        <v>39000</v>
      </c>
    </row>
    <row r="59">
      <c r="A59" s="21" t="inlineStr">
        <is>
          <t>Media GB per paying fan per month</t>
        </is>
      </c>
      <c r="B59" s="22" t="inlineStr">
        <is>
          <t>GB</t>
        </is>
      </c>
      <c r="C59" s="29" t="n">
        <v>1.8</v>
      </c>
      <c r="D59" s="39">
        <f>C59</f>
        <v/>
      </c>
      <c r="E59" s="39">
        <f>C59</f>
        <v/>
      </c>
      <c r="F59" s="39">
        <f>C59</f>
        <v/>
      </c>
      <c r="G59" s="39">
        <f>C59</f>
        <v/>
      </c>
      <c r="H59" s="39">
        <f>C59</f>
        <v/>
      </c>
      <c r="I59" s="39">
        <f>C59</f>
        <v/>
      </c>
      <c r="J59" s="39">
        <f>C59</f>
        <v/>
      </c>
      <c r="K59" s="39">
        <f>C59</f>
        <v/>
      </c>
      <c r="L59" s="39">
        <f>C59</f>
        <v/>
      </c>
    </row>
    <row r="60">
      <c r="A60" s="21" t="inlineStr">
        <is>
          <t>Egress cost per GB (zero-egress CDN)</t>
        </is>
      </c>
      <c r="B60" s="22" t="inlineStr">
        <is>
          <t>EUR</t>
        </is>
      </c>
      <c r="C60" s="40" t="n">
        <v>0.008</v>
      </c>
      <c r="D60" s="41">
        <f>C60</f>
        <v/>
      </c>
      <c r="E60" s="41">
        <f>C60</f>
        <v/>
      </c>
      <c r="F60" s="41">
        <f>C60</f>
        <v/>
      </c>
      <c r="G60" s="41">
        <f>C60</f>
        <v/>
      </c>
      <c r="H60" s="41">
        <f>C60</f>
        <v/>
      </c>
      <c r="I60" s="41">
        <f>C60</f>
        <v/>
      </c>
      <c r="J60" s="41">
        <f>C60</f>
        <v/>
      </c>
      <c r="K60" s="41">
        <f>C60</f>
        <v/>
      </c>
      <c r="L60" s="41">
        <f>C60</f>
        <v/>
      </c>
      <c r="N60" s="26" t="inlineStr">
        <is>
          <t>Cloudflare R2 / Backblaze B2 list</t>
        </is>
      </c>
    </row>
    <row r="61">
      <c r="A61" s="21" t="inlineStr">
        <is>
          <t>Egress cost per GB (CloudFront list)</t>
        </is>
      </c>
      <c r="B61" s="22" t="inlineStr">
        <is>
          <t>EUR</t>
        </is>
      </c>
      <c r="C61" s="40" t="n">
        <v>0.075</v>
      </c>
      <c r="D61" s="41">
        <f>C61</f>
        <v/>
      </c>
      <c r="E61" s="41">
        <f>C61</f>
        <v/>
      </c>
      <c r="F61" s="41">
        <f>C61</f>
        <v/>
      </c>
      <c r="G61" s="41">
        <f>C61</f>
        <v/>
      </c>
      <c r="H61" s="41">
        <f>C61</f>
        <v/>
      </c>
      <c r="I61" s="41">
        <f>C61</f>
        <v/>
      </c>
      <c r="J61" s="41">
        <f>C61</f>
        <v/>
      </c>
      <c r="K61" s="41">
        <f>C61</f>
        <v/>
      </c>
      <c r="L61" s="41">
        <f>C61</f>
        <v/>
      </c>
      <c r="N61" s="26" t="inlineStr">
        <is>
          <t>AWS CloudFront list price: the EUR 1.1M/yr trap</t>
        </is>
      </c>
    </row>
    <row r="62">
      <c r="A62" s="21" t="inlineStr">
        <is>
          <t>Moderation cost per 1,000 items</t>
        </is>
      </c>
      <c r="B62" s="22" t="inlineStr">
        <is>
          <t>EUR</t>
        </is>
      </c>
      <c r="C62" s="28" t="n">
        <v>22</v>
      </c>
      <c r="D62" s="37">
        <f>C62</f>
        <v/>
      </c>
      <c r="E62" s="37">
        <f>C62</f>
        <v/>
      </c>
      <c r="F62" s="37">
        <f>C62</f>
        <v/>
      </c>
      <c r="G62" s="37">
        <f>C62</f>
        <v/>
      </c>
      <c r="H62" s="37">
        <f>C62</f>
        <v/>
      </c>
      <c r="I62" s="37">
        <f>C62</f>
        <v/>
      </c>
      <c r="J62" s="37">
        <f>C62</f>
        <v/>
      </c>
      <c r="K62" s="37">
        <f>C62</f>
        <v/>
      </c>
      <c r="L62" s="37">
        <f>C62</f>
        <v/>
      </c>
    </row>
    <row r="63">
      <c r="A63" s="21" t="inlineStr">
        <is>
          <t>Items per athlete per month</t>
        </is>
      </c>
      <c r="B63" s="22" t="inlineStr">
        <is>
          <t>count</t>
        </is>
      </c>
      <c r="C63" s="29" t="n">
        <v>12</v>
      </c>
      <c r="D63" s="39">
        <f>C63</f>
        <v/>
      </c>
      <c r="E63" s="39">
        <f>C63</f>
        <v/>
      </c>
      <c r="F63" s="39">
        <f>C63</f>
        <v/>
      </c>
      <c r="G63" s="39">
        <f>C63</f>
        <v/>
      </c>
      <c r="H63" s="39">
        <f>C63</f>
        <v/>
      </c>
      <c r="I63" s="39">
        <f>C63</f>
        <v/>
      </c>
      <c r="J63" s="39">
        <f>C63</f>
        <v/>
      </c>
      <c r="K63" s="39">
        <f>C63</f>
        <v/>
      </c>
      <c r="L63" s="39">
        <f>C63</f>
        <v/>
      </c>
    </row>
    <row r="65">
      <c r="A65" s="19" t="inlineStr">
        <is>
          <t>PEOPLE &amp; OVERHEAD</t>
        </is>
      </c>
      <c r="B65" s="20" t="n"/>
      <c r="C65" s="20" t="n"/>
      <c r="D65" s="20" t="n"/>
      <c r="E65" s="20" t="n"/>
      <c r="F65" s="20" t="n"/>
      <c r="G65" s="20" t="n"/>
      <c r="H65" s="20" t="n"/>
      <c r="I65" s="20" t="n"/>
      <c r="J65" s="20" t="n"/>
      <c r="K65" s="20" t="n"/>
      <c r="L65" s="20" t="n"/>
    </row>
    <row r="66">
      <c r="A66" s="21" t="inlineStr">
        <is>
          <t>Headcount</t>
        </is>
      </c>
      <c r="B66" s="22" t="inlineStr">
        <is>
          <t>FTE</t>
        </is>
      </c>
      <c r="C66" s="29" t="n">
        <v>1.5</v>
      </c>
      <c r="D66" s="29" t="n">
        <v>2</v>
      </c>
      <c r="E66" s="29" t="n">
        <v>3.5</v>
      </c>
      <c r="F66" s="29" t="n">
        <v>6</v>
      </c>
      <c r="G66" s="29" t="n">
        <v>10</v>
      </c>
      <c r="H66" s="29" t="n">
        <v>15</v>
      </c>
      <c r="I66" s="29" t="n">
        <v>22</v>
      </c>
      <c r="J66" s="29" t="n">
        <v>28</v>
      </c>
      <c r="K66" s="29" t="n">
        <v>33</v>
      </c>
      <c r="L66" s="29" t="n">
        <v>38</v>
      </c>
    </row>
    <row r="67">
      <c r="A67" s="21" t="inlineStr">
        <is>
          <t>Loaded salary (incl. ~31% employer SS)</t>
        </is>
      </c>
      <c r="B67" s="22" t="inlineStr">
        <is>
          <t>EUR</t>
        </is>
      </c>
      <c r="C67" s="30" t="n">
        <v>38000</v>
      </c>
      <c r="D67" s="30" t="n">
        <v>52000</v>
      </c>
      <c r="E67" s="30" t="n">
        <v>60000</v>
      </c>
      <c r="F67" s="30" t="n">
        <v>64000</v>
      </c>
      <c r="G67" s="30" t="n">
        <v>66000</v>
      </c>
      <c r="H67" s="30" t="n">
        <v>68000</v>
      </c>
      <c r="I67" s="30" t="n">
        <v>70000</v>
      </c>
      <c r="J67" s="30" t="n">
        <v>72000</v>
      </c>
      <c r="K67" s="30" t="n">
        <v>74000</v>
      </c>
      <c r="L67" s="30" t="n">
        <v>76000</v>
      </c>
    </row>
    <row r="68">
      <c r="A68" s="21" t="inlineStr">
        <is>
          <t>Legal &amp; compliance</t>
        </is>
      </c>
      <c r="B68" s="22" t="inlineStr">
        <is>
          <t>EUR</t>
        </is>
      </c>
      <c r="C68" s="30" t="n">
        <v>18000</v>
      </c>
      <c r="D68" s="30" t="n">
        <v>45000</v>
      </c>
      <c r="E68" s="30" t="n">
        <v>90000</v>
      </c>
      <c r="F68" s="30" t="n">
        <v>150000</v>
      </c>
      <c r="G68" s="30" t="n">
        <v>200000</v>
      </c>
      <c r="H68" s="30" t="n">
        <v>235000</v>
      </c>
      <c r="I68" s="30" t="n">
        <v>270000</v>
      </c>
      <c r="J68" s="30" t="n">
        <v>300000</v>
      </c>
      <c r="K68" s="30" t="n">
        <v>325000</v>
      </c>
      <c r="L68" s="30" t="n">
        <v>345000</v>
      </c>
    </row>
    <row r="69">
      <c r="A69" s="21" t="inlineStr">
        <is>
          <t>Other opex as % of revenue</t>
        </is>
      </c>
      <c r="B69" s="22" t="inlineStr">
        <is>
          <t>%</t>
        </is>
      </c>
      <c r="C69" s="24" t="n">
        <v>0.08</v>
      </c>
      <c r="D69" s="31">
        <f>C69</f>
        <v/>
      </c>
      <c r="E69" s="31">
        <f>C69</f>
        <v/>
      </c>
      <c r="F69" s="31">
        <f>C69</f>
        <v/>
      </c>
      <c r="G69" s="31">
        <f>C69</f>
        <v/>
      </c>
      <c r="H69" s="31">
        <f>C69</f>
        <v/>
      </c>
      <c r="I69" s="31">
        <f>C69</f>
        <v/>
      </c>
      <c r="J69" s="31">
        <f>C69</f>
        <v/>
      </c>
      <c r="K69" s="31">
        <f>C69</f>
        <v/>
      </c>
      <c r="L69" s="31">
        <f>C69</f>
        <v/>
      </c>
    </row>
    <row r="71">
      <c r="A71" s="19" t="inlineStr">
        <is>
          <t>WORKING CAPITAL, CAPEX &amp; TAX</t>
        </is>
      </c>
      <c r="B71" s="20" t="n"/>
      <c r="C71" s="20" t="n"/>
      <c r="D71" s="20" t="n"/>
      <c r="E71" s="20" t="n"/>
      <c r="F71" s="20" t="n"/>
      <c r="G71" s="20" t="n"/>
      <c r="H71" s="20" t="n"/>
      <c r="I71" s="20" t="n"/>
      <c r="J71" s="20" t="n"/>
      <c r="K71" s="20" t="n"/>
      <c r="L71" s="20" t="n"/>
    </row>
    <row r="72">
      <c r="A72" s="21" t="inlineStr">
        <is>
          <t>Athlete payout float</t>
        </is>
      </c>
      <c r="B72" s="22" t="inlineStr">
        <is>
          <t>days</t>
        </is>
      </c>
      <c r="C72" s="23" t="n">
        <v>15</v>
      </c>
      <c r="D72" s="25">
        <f>C72</f>
        <v/>
      </c>
      <c r="E72" s="25">
        <f>C72</f>
        <v/>
      </c>
      <c r="F72" s="25">
        <f>C72</f>
        <v/>
      </c>
      <c r="G72" s="25">
        <f>C72</f>
        <v/>
      </c>
      <c r="H72" s="25">
        <f>C72</f>
        <v/>
      </c>
      <c r="I72" s="25">
        <f>C72</f>
        <v/>
      </c>
      <c r="J72" s="25">
        <f>C72</f>
        <v/>
      </c>
      <c r="K72" s="25">
        <f>C72</f>
        <v/>
      </c>
      <c r="L72" s="25">
        <f>C72</f>
        <v/>
      </c>
      <c r="N72" s="26" t="inlineStr">
        <is>
          <t>We hold fan money before paying athletes, a cash benefit</t>
        </is>
      </c>
    </row>
    <row r="73">
      <c r="A73" s="21" t="inlineStr">
        <is>
          <t>Sponsor receivable days</t>
        </is>
      </c>
      <c r="B73" s="22" t="inlineStr">
        <is>
          <t>days</t>
        </is>
      </c>
      <c r="C73" s="23" t="n">
        <v>45</v>
      </c>
      <c r="D73" s="25">
        <f>C73</f>
        <v/>
      </c>
      <c r="E73" s="25">
        <f>C73</f>
        <v/>
      </c>
      <c r="F73" s="25">
        <f>C73</f>
        <v/>
      </c>
      <c r="G73" s="25">
        <f>C73</f>
        <v/>
      </c>
      <c r="H73" s="25">
        <f>C73</f>
        <v/>
      </c>
      <c r="I73" s="25">
        <f>C73</f>
        <v/>
      </c>
      <c r="J73" s="25">
        <f>C73</f>
        <v/>
      </c>
      <c r="K73" s="25">
        <f>C73</f>
        <v/>
      </c>
      <c r="L73" s="25">
        <f>C73</f>
        <v/>
      </c>
    </row>
    <row r="74">
      <c r="A74" s="21" t="inlineStr">
        <is>
          <t>Trade payable days</t>
        </is>
      </c>
      <c r="B74" s="22" t="inlineStr">
        <is>
          <t>days</t>
        </is>
      </c>
      <c r="C74" s="23" t="n">
        <v>30</v>
      </c>
      <c r="D74" s="25">
        <f>C74</f>
        <v/>
      </c>
      <c r="E74" s="25">
        <f>C74</f>
        <v/>
      </c>
      <c r="F74" s="25">
        <f>C74</f>
        <v/>
      </c>
      <c r="G74" s="25">
        <f>C74</f>
        <v/>
      </c>
      <c r="H74" s="25">
        <f>C74</f>
        <v/>
      </c>
      <c r="I74" s="25">
        <f>C74</f>
        <v/>
      </c>
      <c r="J74" s="25">
        <f>C74</f>
        <v/>
      </c>
      <c r="K74" s="25">
        <f>C74</f>
        <v/>
      </c>
      <c r="L74" s="25">
        <f>C74</f>
        <v/>
      </c>
    </row>
    <row r="75">
      <c r="A75" s="21" t="inlineStr">
        <is>
          <t>Capitalised development</t>
        </is>
      </c>
      <c r="B75" s="22" t="inlineStr">
        <is>
          <t>% of people cost</t>
        </is>
      </c>
      <c r="C75" s="24" t="n">
        <v>0.3</v>
      </c>
      <c r="D75" s="31">
        <f>C75</f>
        <v/>
      </c>
      <c r="E75" s="31">
        <f>C75</f>
        <v/>
      </c>
      <c r="F75" s="31">
        <f>C75</f>
        <v/>
      </c>
      <c r="G75" s="31">
        <f>C75</f>
        <v/>
      </c>
      <c r="H75" s="31">
        <f>C75</f>
        <v/>
      </c>
      <c r="I75" s="31">
        <f>C75</f>
        <v/>
      </c>
      <c r="J75" s="31">
        <f>C75</f>
        <v/>
      </c>
      <c r="K75" s="31">
        <f>C75</f>
        <v/>
      </c>
      <c r="L75" s="31">
        <f>C75</f>
        <v/>
      </c>
    </row>
    <row r="76">
      <c r="A76" s="21" t="inlineStr">
        <is>
          <t>Amortisation period</t>
        </is>
      </c>
      <c r="B76" s="22" t="inlineStr">
        <is>
          <t>years</t>
        </is>
      </c>
      <c r="C76" s="42" t="n">
        <v>3</v>
      </c>
      <c r="D76" s="43">
        <f>C76</f>
        <v/>
      </c>
      <c r="E76" s="43">
        <f>C76</f>
        <v/>
      </c>
      <c r="F76" s="43">
        <f>C76</f>
        <v/>
      </c>
      <c r="G76" s="43">
        <f>C76</f>
        <v/>
      </c>
      <c r="H76" s="43">
        <f>C76</f>
        <v/>
      </c>
      <c r="I76" s="43">
        <f>C76</f>
        <v/>
      </c>
      <c r="J76" s="43">
        <f>C76</f>
        <v/>
      </c>
      <c r="K76" s="43">
        <f>C76</f>
        <v/>
      </c>
      <c r="L76" s="43">
        <f>C76</f>
        <v/>
      </c>
    </row>
    <row r="77">
      <c r="A77" s="21" t="inlineStr">
        <is>
          <t>Corporate tax: startup rate</t>
        </is>
      </c>
      <c r="B77" s="22" t="inlineStr">
        <is>
          <t>%</t>
        </is>
      </c>
      <c r="C77" s="44" t="n">
        <v>0.15</v>
      </c>
      <c r="D77" s="31">
        <f>C77</f>
        <v/>
      </c>
      <c r="E77" s="31">
        <f>C77</f>
        <v/>
      </c>
      <c r="F77" s="31">
        <f>C77</f>
        <v/>
      </c>
      <c r="G77" s="31">
        <f>C77</f>
        <v/>
      </c>
      <c r="H77" s="31">
        <f>C77</f>
        <v/>
      </c>
      <c r="I77" s="31">
        <f>C77</f>
        <v/>
      </c>
      <c r="J77" s="31">
        <f>C77</f>
        <v/>
      </c>
      <c r="K77" s="31">
        <f>C77</f>
        <v/>
      </c>
      <c r="L77" s="31">
        <f>C77</f>
        <v/>
      </c>
      <c r="N77" s="26" t="inlineStr">
        <is>
          <t>Spanish Startup Law, first 4 profitable years</t>
        </is>
      </c>
    </row>
    <row r="78">
      <c r="A78" s="21" t="inlineStr">
        <is>
          <t>Corporate tax: standard rate</t>
        </is>
      </c>
      <c r="B78" s="22" t="inlineStr">
        <is>
          <t>%</t>
        </is>
      </c>
      <c r="C78" s="44" t="n">
        <v>0.25</v>
      </c>
      <c r="D78" s="31">
        <f>C78</f>
        <v/>
      </c>
      <c r="E78" s="31">
        <f>C78</f>
        <v/>
      </c>
      <c r="F78" s="31">
        <f>C78</f>
        <v/>
      </c>
      <c r="G78" s="31">
        <f>C78</f>
        <v/>
      </c>
      <c r="H78" s="31">
        <f>C78</f>
        <v/>
      </c>
      <c r="I78" s="31">
        <f>C78</f>
        <v/>
      </c>
      <c r="J78" s="31">
        <f>C78</f>
        <v/>
      </c>
      <c r="K78" s="31">
        <f>C78</f>
        <v/>
      </c>
      <c r="L78" s="31">
        <f>C78</f>
        <v/>
      </c>
      <c r="N78" s="26" t="inlineStr">
        <is>
          <t>Spanish corporate income tax</t>
        </is>
      </c>
    </row>
    <row r="79">
      <c r="A79" s="21" t="inlineStr">
        <is>
          <t>Years at startup rate (from first profit)</t>
        </is>
      </c>
      <c r="B79" s="22" t="inlineStr">
        <is>
          <t>years</t>
        </is>
      </c>
      <c r="C79" s="45" t="n">
        <v>4</v>
      </c>
      <c r="D79" s="43">
        <f>C79</f>
        <v/>
      </c>
      <c r="E79" s="43">
        <f>C79</f>
        <v/>
      </c>
      <c r="F79" s="43">
        <f>C79</f>
        <v/>
      </c>
      <c r="G79" s="43">
        <f>C79</f>
        <v/>
      </c>
      <c r="H79" s="43">
        <f>C79</f>
        <v/>
      </c>
      <c r="I79" s="43">
        <f>C79</f>
        <v/>
      </c>
      <c r="J79" s="43">
        <f>C79</f>
        <v/>
      </c>
      <c r="K79" s="43">
        <f>C79</f>
        <v/>
      </c>
      <c r="L79" s="43">
        <f>C79</f>
        <v/>
      </c>
    </row>
    <row r="81">
      <c r="A81" s="19" t="inlineStr">
        <is>
          <t>ADMISSION: the gate between an applicant and an athlete</t>
        </is>
      </c>
      <c r="B81" s="20" t="n"/>
      <c r="C81" s="20" t="n"/>
      <c r="D81" s="20" t="n"/>
      <c r="E81" s="20" t="n"/>
      <c r="F81" s="20" t="n"/>
      <c r="G81" s="20" t="n"/>
      <c r="H81" s="20" t="n"/>
      <c r="I81" s="20" t="n"/>
      <c r="J81" s="20" t="n"/>
      <c r="K81" s="20" t="n"/>
      <c r="L81" s="20" t="n"/>
    </row>
    <row r="82">
      <c r="A82" s="21" t="inlineStr">
        <is>
          <t>Admission rate: direct applicants</t>
        </is>
      </c>
      <c r="B82" s="22" t="inlineStr">
        <is>
          <t>% admitted</t>
        </is>
      </c>
      <c r="C82" s="24" t="n">
        <v>0.2</v>
      </c>
      <c r="D82" s="31">
        <f>C82</f>
        <v/>
      </c>
      <c r="E82" s="31">
        <f>C82</f>
        <v/>
      </c>
      <c r="F82" s="31">
        <f>C82</f>
        <v/>
      </c>
      <c r="G82" s="31">
        <f>C82</f>
        <v/>
      </c>
      <c r="H82" s="31">
        <f>C82</f>
        <v/>
      </c>
      <c r="I82" s="31">
        <f>C82</f>
        <v/>
      </c>
      <c r="J82" s="31">
        <f>C82</f>
        <v/>
      </c>
      <c r="K82" s="31">
        <f>C82</f>
        <v/>
      </c>
      <c r="L82" s="31">
        <f>C82</f>
        <v/>
      </c>
      <c r="N82" s="27" t="inlineStr">
        <is>
          <t>ops-load output of scripts/admission_stress.py</t>
        </is>
      </c>
    </row>
    <row r="83">
      <c r="A83" s="21" t="inlineStr">
        <is>
          <t>Review rate: direct applicants</t>
        </is>
      </c>
      <c r="B83" s="22" t="inlineStr">
        <is>
          <t>% needing a human</t>
        </is>
      </c>
      <c r="C83" s="24" t="n">
        <v>0.25</v>
      </c>
      <c r="D83" s="31">
        <f>C83</f>
        <v/>
      </c>
      <c r="E83" s="31">
        <f>C83</f>
        <v/>
      </c>
      <c r="F83" s="31">
        <f>C83</f>
        <v/>
      </c>
      <c r="G83" s="31">
        <f>C83</f>
        <v/>
      </c>
      <c r="H83" s="31">
        <f>C83</f>
        <v/>
      </c>
      <c r="I83" s="31">
        <f>C83</f>
        <v/>
      </c>
      <c r="J83" s="31">
        <f>C83</f>
        <v/>
      </c>
      <c r="K83" s="31">
        <f>C83</f>
        <v/>
      </c>
      <c r="L83" s="31">
        <f>C83</f>
        <v/>
      </c>
      <c r="N83" s="27" t="inlineStr">
        <is>
          <t>ops-load output of scripts/admission_stress.py</t>
        </is>
      </c>
    </row>
    <row r="84">
      <c r="A84" s="21" t="inlineStr">
        <is>
          <t>Admission rate: club-nominated</t>
        </is>
      </c>
      <c r="B84" s="22" t="inlineStr">
        <is>
          <t>% admitted</t>
        </is>
      </c>
      <c r="C84" s="24" t="n">
        <v>0.45</v>
      </c>
      <c r="D84" s="31">
        <f>C84</f>
        <v/>
      </c>
      <c r="E84" s="31">
        <f>C84</f>
        <v/>
      </c>
      <c r="F84" s="31">
        <f>C84</f>
        <v/>
      </c>
      <c r="G84" s="31">
        <f>C84</f>
        <v/>
      </c>
      <c r="H84" s="31">
        <f>C84</f>
        <v/>
      </c>
      <c r="I84" s="31">
        <f>C84</f>
        <v/>
      </c>
      <c r="J84" s="31">
        <f>C84</f>
        <v/>
      </c>
      <c r="K84" s="31">
        <f>C84</f>
        <v/>
      </c>
      <c r="L84" s="31">
        <f>C84</f>
        <v/>
      </c>
      <c r="N84" s="26" t="inlineStr">
        <is>
          <t>ESTIMATE: a verified club's floor carries more of them past the bar</t>
        </is>
      </c>
    </row>
    <row r="85">
      <c r="A85" s="21" t="inlineStr">
        <is>
          <t>Review rate: club-nominated</t>
        </is>
      </c>
      <c r="B85" s="22" t="inlineStr">
        <is>
          <t>% needing a human</t>
        </is>
      </c>
      <c r="C85" s="24" t="n">
        <v>0.18</v>
      </c>
      <c r="D85" s="31">
        <f>C85</f>
        <v/>
      </c>
      <c r="E85" s="31">
        <f>C85</f>
        <v/>
      </c>
      <c r="F85" s="31">
        <f>C85</f>
        <v/>
      </c>
      <c r="G85" s="31">
        <f>C85</f>
        <v/>
      </c>
      <c r="H85" s="31">
        <f>C85</f>
        <v/>
      </c>
      <c r="I85" s="31">
        <f>C85</f>
        <v/>
      </c>
      <c r="J85" s="31">
        <f>C85</f>
        <v/>
      </c>
      <c r="K85" s="31">
        <f>C85</f>
        <v/>
      </c>
      <c r="L85" s="31">
        <f>C85</f>
        <v/>
      </c>
      <c r="N85" s="26" t="inlineStr">
        <is>
          <t>ESTIMATE</t>
        </is>
      </c>
    </row>
    <row r="86">
      <c r="A86" s="21" t="inlineStr">
        <is>
          <t>Applicants arriving via a club</t>
        </is>
      </c>
      <c r="B86" s="22" t="inlineStr">
        <is>
          <t>% of applicants</t>
        </is>
      </c>
      <c r="C86" s="24" t="n">
        <v>0</v>
      </c>
      <c r="D86" s="24" t="n">
        <v>0.1</v>
      </c>
      <c r="E86" s="24" t="n">
        <v>0.2</v>
      </c>
      <c r="F86" s="24" t="n">
        <v>0.28</v>
      </c>
      <c r="G86" s="24" t="n">
        <v>0.34</v>
      </c>
      <c r="H86" s="24" t="n">
        <v>0.38</v>
      </c>
      <c r="I86" s="24" t="n">
        <v>0.42</v>
      </c>
      <c r="J86" s="24" t="n">
        <v>0.44</v>
      </c>
      <c r="K86" s="24" t="n">
        <v>0.46</v>
      </c>
      <c r="L86" s="24" t="n">
        <v>0.47</v>
      </c>
      <c r="N86" s="26" t="inlineStr">
        <is>
          <t>Grows as federation and club partnerships land</t>
        </is>
      </c>
    </row>
    <row r="87">
      <c r="A87" s="21" t="inlineStr">
        <is>
          <t>Minutes per manual review</t>
        </is>
      </c>
      <c r="B87" s="22" t="inlineStr">
        <is>
          <t>min</t>
        </is>
      </c>
      <c r="C87" s="29" t="n">
        <v>4</v>
      </c>
      <c r="D87" s="39">
        <f>C87</f>
        <v/>
      </c>
      <c r="E87" s="39">
        <f>C87</f>
        <v/>
      </c>
      <c r="F87" s="39">
        <f>C87</f>
        <v/>
      </c>
      <c r="G87" s="39">
        <f>C87</f>
        <v/>
      </c>
      <c r="H87" s="39">
        <f>C87</f>
        <v/>
      </c>
      <c r="I87" s="39">
        <f>C87</f>
        <v/>
      </c>
      <c r="J87" s="39">
        <f>C87</f>
        <v/>
      </c>
      <c r="K87" s="39">
        <f>C87</f>
        <v/>
      </c>
      <c r="L87" s="39">
        <f>C87</f>
        <v/>
      </c>
      <c r="N87" s="26" t="inlineStr">
        <is>
          <t>Open the link, decide whether it names the applicant</t>
        </is>
      </c>
    </row>
    <row r="88">
      <c r="A88" s="21" t="inlineStr">
        <is>
          <t>Productive hours per reviewer-year</t>
        </is>
      </c>
      <c r="B88" s="22" t="inlineStr">
        <is>
          <t>h</t>
        </is>
      </c>
      <c r="C88" s="23" t="n">
        <v>1700</v>
      </c>
      <c r="D88" s="25">
        <f>C88</f>
        <v/>
      </c>
      <c r="E88" s="25">
        <f>C88</f>
        <v/>
      </c>
      <c r="F88" s="25">
        <f>C88</f>
        <v/>
      </c>
      <c r="G88" s="25">
        <f>C88</f>
        <v/>
      </c>
      <c r="H88" s="25">
        <f>C88</f>
        <v/>
      </c>
      <c r="I88" s="25">
        <f>C88</f>
        <v/>
      </c>
      <c r="J88" s="25">
        <f>C88</f>
        <v/>
      </c>
      <c r="K88" s="25">
        <f>C88</f>
        <v/>
      </c>
      <c r="L88" s="25">
        <f>C88</f>
        <v/>
      </c>
      <c r="N88" s="26" t="inlineStr">
        <is>
          <t>Prices review time off the same loaded salary line</t>
        </is>
      </c>
    </row>
    <row r="90">
      <c r="A90" s="19" t="inlineStr">
        <is>
          <t>VALUATION</t>
        </is>
      </c>
      <c r="B90" s="20" t="n"/>
      <c r="C90" s="20" t="n"/>
      <c r="D90" s="20" t="n"/>
      <c r="E90" s="20" t="n"/>
      <c r="F90" s="20" t="n"/>
      <c r="G90" s="20" t="n"/>
      <c r="H90" s="20" t="n"/>
      <c r="I90" s="20" t="n"/>
      <c r="J90" s="20" t="n"/>
      <c r="K90" s="20" t="n"/>
      <c r="L90" s="20" t="n"/>
    </row>
    <row r="91">
      <c r="A91" s="21" t="inlineStr">
        <is>
          <t>WACC / discount rate</t>
        </is>
      </c>
      <c r="B91" s="22" t="inlineStr">
        <is>
          <t>%</t>
        </is>
      </c>
      <c r="C91" s="24" t="n">
        <v>0.25</v>
      </c>
      <c r="D91" s="31">
        <f>C91</f>
        <v/>
      </c>
      <c r="E91" s="31">
        <f>C91</f>
        <v/>
      </c>
      <c r="F91" s="31">
        <f>C91</f>
        <v/>
      </c>
      <c r="G91" s="31">
        <f>C91</f>
        <v/>
      </c>
      <c r="H91" s="31">
        <f>C91</f>
        <v/>
      </c>
      <c r="I91" s="31">
        <f>C91</f>
        <v/>
      </c>
      <c r="J91" s="31">
        <f>C91</f>
        <v/>
      </c>
      <c r="K91" s="31">
        <f>C91</f>
        <v/>
      </c>
      <c r="L91" s="31">
        <f>C91</f>
        <v/>
      </c>
      <c r="N91" s="26" t="inlineStr">
        <is>
          <t>Early-stage venture hurdle</t>
        </is>
      </c>
    </row>
    <row r="92">
      <c r="A92" s="21" t="inlineStr">
        <is>
          <t>Terminal growth</t>
        </is>
      </c>
      <c r="B92" s="22" t="inlineStr">
        <is>
          <t>%</t>
        </is>
      </c>
      <c r="C92" s="24" t="n">
        <v>0.03</v>
      </c>
      <c r="D92" s="31">
        <f>C92</f>
        <v/>
      </c>
      <c r="E92" s="31">
        <f>C92</f>
        <v/>
      </c>
      <c r="F92" s="31">
        <f>C92</f>
        <v/>
      </c>
      <c r="G92" s="31">
        <f>C92</f>
        <v/>
      </c>
      <c r="H92" s="31">
        <f>C92</f>
        <v/>
      </c>
      <c r="I92" s="31">
        <f>C92</f>
        <v/>
      </c>
      <c r="J92" s="31">
        <f>C92</f>
        <v/>
      </c>
      <c r="K92" s="31">
        <f>C92</f>
        <v/>
      </c>
      <c r="L92" s="31">
        <f>C92</f>
        <v/>
      </c>
    </row>
    <row r="93">
      <c r="A93" s="21" t="inlineStr">
        <is>
          <t>Exit revenue multiple</t>
        </is>
      </c>
      <c r="B93" s="22" t="inlineStr">
        <is>
          <t>x</t>
        </is>
      </c>
      <c r="C93" s="29" t="n">
        <v>6.5</v>
      </c>
      <c r="D93" s="39">
        <f>C93</f>
        <v/>
      </c>
      <c r="E93" s="39">
        <f>C93</f>
        <v/>
      </c>
      <c r="F93" s="39">
        <f>C93</f>
        <v/>
      </c>
      <c r="G93" s="39">
        <f>C93</f>
        <v/>
      </c>
      <c r="H93" s="39">
        <f>C93</f>
        <v/>
      </c>
      <c r="I93" s="39">
        <f>C93</f>
        <v/>
      </c>
      <c r="J93" s="39">
        <f>C93</f>
        <v/>
      </c>
      <c r="K93" s="39">
        <f>C93</f>
        <v/>
      </c>
      <c r="L93" s="39">
        <f>C93</f>
        <v/>
      </c>
      <c r="N93" s="26" t="inlineStr">
        <is>
          <t>Blended marketplace + SaaS comparables</t>
        </is>
      </c>
    </row>
    <row r="94">
      <c r="A94" s="21" t="inlineStr">
        <is>
          <t>Risk-free rate (Spanish 10Y)</t>
        </is>
      </c>
      <c r="B94" s="22" t="inlineStr">
        <is>
          <t>%</t>
        </is>
      </c>
      <c r="C94" s="44" t="n">
        <v>0.032</v>
      </c>
      <c r="D94" s="31">
        <f>C94</f>
        <v/>
      </c>
      <c r="E94" s="31">
        <f>C94</f>
        <v/>
      </c>
      <c r="F94" s="31">
        <f>C94</f>
        <v/>
      </c>
      <c r="G94" s="31">
        <f>C94</f>
        <v/>
      </c>
      <c r="H94" s="31">
        <f>C94</f>
        <v/>
      </c>
      <c r="I94" s="31">
        <f>C94</f>
        <v/>
      </c>
      <c r="J94" s="31">
        <f>C94</f>
        <v/>
      </c>
      <c r="K94" s="31">
        <f>C94</f>
        <v/>
      </c>
      <c r="L94" s="31">
        <f>C94</f>
        <v/>
      </c>
      <c r="N94" s="26" t="inlineStr">
        <is>
          <t>Spanish 10Y government bond, mid-2026</t>
        </is>
      </c>
    </row>
    <row r="95">
      <c r="A95" s="21" t="inlineStr">
        <is>
          <t>Founder alternative return</t>
        </is>
      </c>
      <c r="B95" s="22" t="inlineStr">
        <is>
          <t>%</t>
        </is>
      </c>
      <c r="C95" s="24" t="n">
        <v>0.07000000000000001</v>
      </c>
      <c r="D95" s="31">
        <f>C95</f>
        <v/>
      </c>
      <c r="E95" s="31">
        <f>C95</f>
        <v/>
      </c>
      <c r="F95" s="31">
        <f>C95</f>
        <v/>
      </c>
      <c r="G95" s="31">
        <f>C95</f>
        <v/>
      </c>
      <c r="H95" s="31">
        <f>C95</f>
        <v/>
      </c>
      <c r="I95" s="31">
        <f>C95</f>
        <v/>
      </c>
      <c r="J95" s="31">
        <f>C95</f>
        <v/>
      </c>
      <c r="K95" s="31">
        <f>C95</f>
        <v/>
      </c>
      <c r="L95" s="31">
        <f>C95</f>
        <v/>
      </c>
    </row>
  </sheetData>
  <mergeCells count="5">
    <mergeCell ref="C2:D2"/>
    <mergeCell ref="G2:H2"/>
    <mergeCell ref="E2:F2"/>
    <mergeCell ref="K2:L2"/>
    <mergeCell ref="I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Drivers: athletes and fans, with cohort churn</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ATHLETES</t>
        </is>
      </c>
      <c r="B4" s="20" t="n"/>
      <c r="C4" s="20" t="n"/>
      <c r="D4" s="20" t="n"/>
      <c r="E4" s="20" t="n"/>
      <c r="F4" s="20" t="n"/>
      <c r="G4" s="20" t="n"/>
      <c r="H4" s="20" t="n"/>
      <c r="I4" s="20" t="n"/>
      <c r="J4" s="20" t="n"/>
      <c r="K4" s="20" t="n"/>
      <c r="L4" s="20" t="n"/>
    </row>
    <row r="5">
      <c r="A5" s="21" t="inlineStr">
        <is>
          <t>Total athletes (year end)</t>
        </is>
      </c>
      <c r="B5" s="22" t="inlineStr"/>
      <c r="C5" s="25">
        <f>Assumptions!C5</f>
        <v/>
      </c>
      <c r="D5" s="25">
        <f>Assumptions!D5</f>
        <v/>
      </c>
      <c r="E5" s="25">
        <f>Assumptions!E5</f>
        <v/>
      </c>
      <c r="F5" s="25">
        <f>Assumptions!F5</f>
        <v/>
      </c>
      <c r="G5" s="25">
        <f>Assumptions!G5</f>
        <v/>
      </c>
      <c r="H5" s="25">
        <f>Assumptions!H5</f>
        <v/>
      </c>
      <c r="I5" s="25">
        <f>Assumptions!I5</f>
        <v/>
      </c>
      <c r="J5" s="25">
        <f>Assumptions!J5</f>
        <v/>
      </c>
      <c r="K5" s="25">
        <f>Assumptions!K5</f>
        <v/>
      </c>
      <c r="L5" s="25">
        <f>Assumptions!L5</f>
        <v/>
      </c>
    </row>
    <row r="6">
      <c r="A6" s="21" t="inlineStr">
        <is>
          <t>Niche athletes</t>
        </is>
      </c>
      <c r="B6" s="22" t="inlineStr"/>
      <c r="C6" s="25">
        <f>Drivers!C5*Assumptions!C6</f>
        <v/>
      </c>
      <c r="D6" s="25">
        <f>Drivers!D5*Assumptions!D6</f>
        <v/>
      </c>
      <c r="E6" s="25">
        <f>Drivers!E5*Assumptions!E6</f>
        <v/>
      </c>
      <c r="F6" s="25">
        <f>Drivers!F5*Assumptions!F6</f>
        <v/>
      </c>
      <c r="G6" s="25">
        <f>Drivers!G5*Assumptions!G6</f>
        <v/>
      </c>
      <c r="H6" s="25">
        <f>Drivers!H5*Assumptions!H6</f>
        <v/>
      </c>
      <c r="I6" s="25">
        <f>Drivers!I5*Assumptions!I6</f>
        <v/>
      </c>
      <c r="J6" s="25">
        <f>Drivers!J5*Assumptions!J6</f>
        <v/>
      </c>
      <c r="K6" s="25">
        <f>Drivers!K5*Assumptions!K6</f>
        <v/>
      </c>
      <c r="L6" s="25">
        <f>Drivers!L5*Assumptions!L6</f>
        <v/>
      </c>
    </row>
    <row r="7">
      <c r="A7" s="21" t="inlineStr">
        <is>
          <t>Popular athletes</t>
        </is>
      </c>
      <c r="B7" s="22" t="inlineStr"/>
      <c r="C7" s="25">
        <f>Drivers!C5-Drivers!C6</f>
        <v/>
      </c>
      <c r="D7" s="25">
        <f>Drivers!D5-Drivers!D6</f>
        <v/>
      </c>
      <c r="E7" s="25">
        <f>Drivers!E5-Drivers!E6</f>
        <v/>
      </c>
      <c r="F7" s="25">
        <f>Drivers!F5-Drivers!F6</f>
        <v/>
      </c>
      <c r="G7" s="25">
        <f>Drivers!G5-Drivers!G6</f>
        <v/>
      </c>
      <c r="H7" s="25">
        <f>Drivers!H5-Drivers!H6</f>
        <v/>
      </c>
      <c r="I7" s="25">
        <f>Drivers!I5-Drivers!I6</f>
        <v/>
      </c>
      <c r="J7" s="25">
        <f>Drivers!J5-Drivers!J6</f>
        <v/>
      </c>
      <c r="K7" s="25">
        <f>Drivers!K5-Drivers!K6</f>
        <v/>
      </c>
      <c r="L7" s="25">
        <f>Drivers!L5-Drivers!L6</f>
        <v/>
      </c>
    </row>
    <row r="9">
      <c r="A9" s="19" t="inlineStr">
        <is>
          <t>NICHE: fans and churn</t>
        </is>
      </c>
      <c r="B9" s="20" t="n"/>
      <c r="C9" s="20" t="n"/>
      <c r="D9" s="20" t="n"/>
      <c r="E9" s="20" t="n"/>
      <c r="F9" s="20" t="n"/>
      <c r="G9" s="20" t="n"/>
      <c r="H9" s="20" t="n"/>
      <c r="I9" s="20" t="n"/>
      <c r="J9" s="20" t="n"/>
      <c r="K9" s="20" t="n"/>
      <c r="L9" s="20" t="n"/>
    </row>
    <row r="10">
      <c r="A10" s="21" t="inlineStr">
        <is>
          <t>Niche athletes lost to churn</t>
        </is>
      </c>
      <c r="B10" s="22" t="inlineStr"/>
      <c r="C10" s="25">
        <f>IF(1=1,0,C6*Assumptions!C14)</f>
        <v/>
      </c>
      <c r="D10" s="25">
        <f>IF(2=1,0,C6*Assumptions!D14)</f>
        <v/>
      </c>
      <c r="E10" s="25">
        <f>IF(3=1,0,D6*Assumptions!E14)</f>
        <v/>
      </c>
      <c r="F10" s="25">
        <f>IF(4=1,0,E6*Assumptions!F14)</f>
        <v/>
      </c>
      <c r="G10" s="25">
        <f>IF(5=1,0,F6*Assumptions!G14)</f>
        <v/>
      </c>
      <c r="H10" s="25">
        <f>IF(6=1,0,G6*Assumptions!H14)</f>
        <v/>
      </c>
      <c r="I10" s="25">
        <f>IF(7=1,0,H6*Assumptions!I14)</f>
        <v/>
      </c>
      <c r="J10" s="25">
        <f>IF(8=1,0,I6*Assumptions!J14)</f>
        <v/>
      </c>
      <c r="K10" s="25">
        <f>IF(9=1,0,J6*Assumptions!K14)</f>
        <v/>
      </c>
      <c r="L10" s="25">
        <f>IF(10=1,0,K6*Assumptions!L14)</f>
        <v/>
      </c>
    </row>
    <row r="11">
      <c r="A11" s="21" t="inlineStr">
        <is>
          <t>Niche athletes acquired (gross)</t>
        </is>
      </c>
      <c r="B11" s="22" t="inlineStr"/>
      <c r="C11" s="46">
        <f>MAX(0,C6-IF(1=1,0,C6)+C10)</f>
        <v/>
      </c>
      <c r="D11" s="46">
        <f>MAX(0,D6-IF(2=1,0,C6)+D10)</f>
        <v/>
      </c>
      <c r="E11" s="46">
        <f>MAX(0,E6-IF(3=1,0,D6)+E10)</f>
        <v/>
      </c>
      <c r="F11" s="46">
        <f>MAX(0,F6-IF(4=1,0,E6)+F10)</f>
        <v/>
      </c>
      <c r="G11" s="46">
        <f>MAX(0,G6-IF(5=1,0,F6)+G10)</f>
        <v/>
      </c>
      <c r="H11" s="46">
        <f>MAX(0,H6-IF(6=1,0,G6)+H10)</f>
        <v/>
      </c>
      <c r="I11" s="46">
        <f>MAX(0,I6-IF(7=1,0,H6)+I10)</f>
        <v/>
      </c>
      <c r="J11" s="46">
        <f>MAX(0,J6-IF(8=1,0,I6)+J10)</f>
        <v/>
      </c>
      <c r="K11" s="46">
        <f>MAX(0,K6-IF(9=1,0,J6)+K10)</f>
        <v/>
      </c>
      <c r="L11" s="46">
        <f>MAX(0,L6-IF(10=1,0,K6)+L10)</f>
        <v/>
      </c>
    </row>
    <row r="12">
      <c r="A12" s="21" t="inlineStr">
        <is>
          <t>Niche monetising athletes</t>
        </is>
      </c>
      <c r="B12" s="22" t="inlineStr"/>
      <c r="C12" s="25">
        <f>C6*Assumptions!C10</f>
        <v/>
      </c>
      <c r="D12" s="25">
        <f>D6*Assumptions!D10</f>
        <v/>
      </c>
      <c r="E12" s="25">
        <f>E6*Assumptions!E10</f>
        <v/>
      </c>
      <c r="F12" s="25">
        <f>F6*Assumptions!F10</f>
        <v/>
      </c>
      <c r="G12" s="25">
        <f>G6*Assumptions!G10</f>
        <v/>
      </c>
      <c r="H12" s="25">
        <f>H6*Assumptions!H10</f>
        <v/>
      </c>
      <c r="I12" s="25">
        <f>I6*Assumptions!I10</f>
        <v/>
      </c>
      <c r="J12" s="25">
        <f>J6*Assumptions!J10</f>
        <v/>
      </c>
      <c r="K12" s="25">
        <f>K6*Assumptions!K10</f>
        <v/>
      </c>
      <c r="L12" s="25">
        <f>L6*Assumptions!L10</f>
        <v/>
      </c>
    </row>
    <row r="13">
      <c r="A13" s="21" t="inlineStr">
        <is>
          <t>Niche paying fans (target, year end)</t>
        </is>
      </c>
      <c r="B13" s="22" t="inlineStr"/>
      <c r="C13" s="25">
        <f>C12*Assumptions!C11</f>
        <v/>
      </c>
      <c r="D13" s="25">
        <f>D12*Assumptions!D11</f>
        <v/>
      </c>
      <c r="E13" s="25">
        <f>E12*Assumptions!E11</f>
        <v/>
      </c>
      <c r="F13" s="25">
        <f>F12*Assumptions!F11</f>
        <v/>
      </c>
      <c r="G13" s="25">
        <f>G12*Assumptions!G11</f>
        <v/>
      </c>
      <c r="H13" s="25">
        <f>H12*Assumptions!H11</f>
        <v/>
      </c>
      <c r="I13" s="25">
        <f>I12*Assumptions!I11</f>
        <v/>
      </c>
      <c r="J13" s="25">
        <f>J12*Assumptions!J11</f>
        <v/>
      </c>
      <c r="K13" s="25">
        <f>K12*Assumptions!K11</f>
        <v/>
      </c>
      <c r="L13" s="25">
        <f>L12*Assumptions!L11</f>
        <v/>
      </c>
    </row>
    <row r="14">
      <c r="A14" s="21" t="inlineStr">
        <is>
          <t>Niche monthly retention r = 1-churn</t>
        </is>
      </c>
      <c r="B14" s="22" t="inlineStr">
        <is>
          <t>factor</t>
        </is>
      </c>
      <c r="C14" s="41">
        <f>1-Assumptions!C13</f>
        <v/>
      </c>
      <c r="D14" s="41">
        <f>1-Assumptions!D13</f>
        <v/>
      </c>
      <c r="E14" s="41">
        <f>1-Assumptions!E13</f>
        <v/>
      </c>
      <c r="F14" s="41">
        <f>1-Assumptions!F13</f>
        <v/>
      </c>
      <c r="G14" s="41">
        <f>1-Assumptions!G13</f>
        <v/>
      </c>
      <c r="H14" s="41">
        <f>1-Assumptions!H13</f>
        <v/>
      </c>
      <c r="I14" s="41">
        <f>1-Assumptions!I13</f>
        <v/>
      </c>
      <c r="J14" s="41">
        <f>1-Assumptions!J13</f>
        <v/>
      </c>
      <c r="K14" s="41">
        <f>1-Assumptions!K13</f>
        <v/>
      </c>
      <c r="L14" s="41">
        <f>1-Assumptions!L13</f>
        <v/>
      </c>
    </row>
    <row r="15">
      <c r="A15" s="21" t="inlineStr">
        <is>
          <t>Niche opening fans survived 12 months</t>
        </is>
      </c>
      <c r="B15" s="22" t="inlineStr">
        <is>
          <t>open x r^12</t>
        </is>
      </c>
      <c r="C15" s="46">
        <f>0</f>
        <v/>
      </c>
      <c r="D15" s="46">
        <f>C17*D14^12</f>
        <v/>
      </c>
      <c r="E15" s="46">
        <f>D17*E14^12</f>
        <v/>
      </c>
      <c r="F15" s="46">
        <f>E17*F14^12</f>
        <v/>
      </c>
      <c r="G15" s="46">
        <f>F17*G14^12</f>
        <v/>
      </c>
      <c r="H15" s="46">
        <f>G17*H14^12</f>
        <v/>
      </c>
      <c r="I15" s="46">
        <f>H17*I14^12</f>
        <v/>
      </c>
      <c r="J15" s="46">
        <f>I17*J14^12</f>
        <v/>
      </c>
      <c r="K15" s="46">
        <f>J17*K14^12</f>
        <v/>
      </c>
      <c r="L15" s="46">
        <f>K17*L14^12</f>
        <v/>
      </c>
    </row>
    <row r="16">
      <c r="A16" s="21" t="inlineStr">
        <is>
          <t>Niche monthly gross adds</t>
        </is>
      </c>
      <c r="B16" s="22" t="inlineStr">
        <is>
          <t>solved, then capped by capacity</t>
        </is>
      </c>
      <c r="C16" s="25">
        <f>MIN(MAX(0,(C13-C15)/((1-C14^12)/(1-C14))),C12*Assumptions!C15/12)</f>
        <v/>
      </c>
      <c r="D16" s="25">
        <f>MIN(MAX(0,(D13-D15)/((1-D14^12)/(1-D14))),D12*Assumptions!D15/12)</f>
        <v/>
      </c>
      <c r="E16" s="25">
        <f>MIN(MAX(0,(E13-E15)/((1-E14^12)/(1-E14))),E12*Assumptions!E15/12)</f>
        <v/>
      </c>
      <c r="F16" s="25">
        <f>MIN(MAX(0,(F13-F15)/((1-F14^12)/(1-F14))),F12*Assumptions!F15/12)</f>
        <v/>
      </c>
      <c r="G16" s="25">
        <f>MIN(MAX(0,(G13-G15)/((1-G14^12)/(1-G14))),G12*Assumptions!G15/12)</f>
        <v/>
      </c>
      <c r="H16" s="25">
        <f>MIN(MAX(0,(H13-H15)/((1-H14^12)/(1-H14))),H12*Assumptions!H15/12)</f>
        <v/>
      </c>
      <c r="I16" s="25">
        <f>MIN(MAX(0,(I13-I15)/((1-I14^12)/(1-I14))),I12*Assumptions!I15/12)</f>
        <v/>
      </c>
      <c r="J16" s="25">
        <f>MIN(MAX(0,(J13-J15)/((1-J14^12)/(1-J14))),J12*Assumptions!J15/12)</f>
        <v/>
      </c>
      <c r="K16" s="25">
        <f>MIN(MAX(0,(K13-K15)/((1-K14^12)/(1-K14))),K12*Assumptions!K15/12)</f>
        <v/>
      </c>
      <c r="L16" s="25">
        <f>MIN(MAX(0,(L13-L15)/((1-L14^12)/(1-L14))),L12*Assumptions!L15/12)</f>
        <v/>
      </c>
    </row>
    <row r="17">
      <c r="A17" s="47" t="inlineStr">
        <is>
          <t>Niche paying fans (year end)</t>
        </is>
      </c>
      <c r="B17" s="48" t="inlineStr">
        <is>
          <t>survivors + capped adds</t>
        </is>
      </c>
      <c r="C17" s="49">
        <f>C15+C16*(1-C14^12)/(1-C14)</f>
        <v/>
      </c>
      <c r="D17" s="49">
        <f>D15+D16*(1-D14^12)/(1-D14)</f>
        <v/>
      </c>
      <c r="E17" s="49">
        <f>E15+E16*(1-E14^12)/(1-E14)</f>
        <v/>
      </c>
      <c r="F17" s="49">
        <f>F15+F16*(1-F14^12)/(1-F14)</f>
        <v/>
      </c>
      <c r="G17" s="49">
        <f>G15+G16*(1-G14^12)/(1-G14)</f>
        <v/>
      </c>
      <c r="H17" s="49">
        <f>H15+H16*(1-H14^12)/(1-H14)</f>
        <v/>
      </c>
      <c r="I17" s="49">
        <f>I15+I16*(1-I14^12)/(1-I14)</f>
        <v/>
      </c>
      <c r="J17" s="49">
        <f>J15+J16*(1-J14^12)/(1-J14)</f>
        <v/>
      </c>
      <c r="K17" s="49">
        <f>K15+K16*(1-K14^12)/(1-K14)</f>
        <v/>
      </c>
      <c r="L17" s="49">
        <f>L15+L16*(1-L14^12)/(1-L14)</f>
        <v/>
      </c>
    </row>
    <row r="18">
      <c r="A18" s="21" t="inlineStr">
        <is>
          <t>Niche fans acquired (gross)</t>
        </is>
      </c>
      <c r="B18" s="22" t="inlineStr">
        <is>
          <t>x12 months</t>
        </is>
      </c>
      <c r="C18" s="46">
        <f>C16*12</f>
        <v/>
      </c>
      <c r="D18" s="46">
        <f>D16*12</f>
        <v/>
      </c>
      <c r="E18" s="46">
        <f>E16*12</f>
        <v/>
      </c>
      <c r="F18" s="46">
        <f>F16*12</f>
        <v/>
      </c>
      <c r="G18" s="46">
        <f>G16*12</f>
        <v/>
      </c>
      <c r="H18" s="46">
        <f>H16*12</f>
        <v/>
      </c>
      <c r="I18" s="46">
        <f>I16*12</f>
        <v/>
      </c>
      <c r="J18" s="46">
        <f>J16*12</f>
        <v/>
      </c>
      <c r="K18" s="46">
        <f>K16*12</f>
        <v/>
      </c>
      <c r="L18" s="46">
        <f>L16*12</f>
        <v/>
      </c>
    </row>
    <row r="19">
      <c r="A19" s="21" t="inlineStr">
        <is>
          <t>Niche S = r(1-r^12)/(1-r)</t>
        </is>
      </c>
      <c r="B19" s="22" t="inlineStr">
        <is>
          <t>geometric sum</t>
        </is>
      </c>
      <c r="C19" s="50">
        <f>C14*(1-C14^12)/(1-C14)</f>
        <v/>
      </c>
      <c r="D19" s="50">
        <f>D14*(1-D14^12)/(1-D14)</f>
        <v/>
      </c>
      <c r="E19" s="50">
        <f>E14*(1-E14^12)/(1-E14)</f>
        <v/>
      </c>
      <c r="F19" s="50">
        <f>F14*(1-F14^12)/(1-F14)</f>
        <v/>
      </c>
      <c r="G19" s="50">
        <f>G14*(1-G14^12)/(1-G14)</f>
        <v/>
      </c>
      <c r="H19" s="50">
        <f>H14*(1-H14^12)/(1-H14)</f>
        <v/>
      </c>
      <c r="I19" s="50">
        <f>I14*(1-I14^12)/(1-I14)</f>
        <v/>
      </c>
      <c r="J19" s="50">
        <f>J14*(1-J14^12)/(1-J14)</f>
        <v/>
      </c>
      <c r="K19" s="50">
        <f>K14*(1-K14^12)/(1-K14)</f>
        <v/>
      </c>
      <c r="L19" s="50">
        <f>L14*(1-L14^12)/(1-L14)</f>
        <v/>
      </c>
    </row>
    <row r="20">
      <c r="A20" s="47" t="inlineStr">
        <is>
          <t>Niche average fans during year</t>
        </is>
      </c>
      <c r="B20" s="48" t="inlineStr">
        <is>
          <t>exact mean, revenue basis</t>
        </is>
      </c>
      <c r="C20" s="49">
        <f>(C16/(1-C14)*(12-C19))/12</f>
        <v/>
      </c>
      <c r="D20" s="49">
        <f>(C17*D19+D16/(1-D14)*(12-D19))/12</f>
        <v/>
      </c>
      <c r="E20" s="49">
        <f>(D17*E19+E16/(1-E14)*(12-E19))/12</f>
        <v/>
      </c>
      <c r="F20" s="49">
        <f>(E17*F19+F16/(1-F14)*(12-F19))/12</f>
        <v/>
      </c>
      <c r="G20" s="49">
        <f>(F17*G19+G16/(1-G14)*(12-G19))/12</f>
        <v/>
      </c>
      <c r="H20" s="49">
        <f>(G17*H19+H16/(1-H14)*(12-H19))/12</f>
        <v/>
      </c>
      <c r="I20" s="49">
        <f>(H17*I19+I16/(1-I14)*(12-I19))/12</f>
        <v/>
      </c>
      <c r="J20" s="49">
        <f>(I17*J19+J16/(1-J14)*(12-J19))/12</f>
        <v/>
      </c>
      <c r="K20" s="49">
        <f>(J17*K19+K16/(1-K14)*(12-K19))/12</f>
        <v/>
      </c>
      <c r="L20" s="49">
        <f>(K17*L19+L16/(1-L14)*(12-L19))/12</f>
        <v/>
      </c>
    </row>
    <row r="21">
      <c r="A21" s="21" t="inlineStr">
        <is>
          <t>Niche fans lost to churn</t>
        </is>
      </c>
      <c r="B21" s="22" t="inlineStr">
        <is>
          <t>avg x churn x 12</t>
        </is>
      </c>
      <c r="C21" s="25">
        <f>C20*12*Assumptions!C13</f>
        <v/>
      </c>
      <c r="D21" s="25">
        <f>D20*12*Assumptions!D13</f>
        <v/>
      </c>
      <c r="E21" s="25">
        <f>E20*12*Assumptions!E13</f>
        <v/>
      </c>
      <c r="F21" s="25">
        <f>F20*12*Assumptions!F13</f>
        <v/>
      </c>
      <c r="G21" s="25">
        <f>G20*12*Assumptions!G13</f>
        <v/>
      </c>
      <c r="H21" s="25">
        <f>H20*12*Assumptions!H13</f>
        <v/>
      </c>
      <c r="I21" s="25">
        <f>I20*12*Assumptions!I13</f>
        <v/>
      </c>
      <c r="J21" s="25">
        <f>J20*12*Assumptions!J13</f>
        <v/>
      </c>
      <c r="K21" s="25">
        <f>K20*12*Assumptions!K13</f>
        <v/>
      </c>
      <c r="L21" s="25">
        <f>L20*12*Assumptions!L13</f>
        <v/>
      </c>
    </row>
    <row r="23">
      <c r="A23" s="19" t="inlineStr">
        <is>
          <t>POPULAR: fans and churn</t>
        </is>
      </c>
      <c r="B23" s="20" t="n"/>
      <c r="C23" s="20" t="n"/>
      <c r="D23" s="20" t="n"/>
      <c r="E23" s="20" t="n"/>
      <c r="F23" s="20" t="n"/>
      <c r="G23" s="20" t="n"/>
      <c r="H23" s="20" t="n"/>
      <c r="I23" s="20" t="n"/>
      <c r="J23" s="20" t="n"/>
      <c r="K23" s="20" t="n"/>
      <c r="L23" s="20" t="n"/>
    </row>
    <row r="24">
      <c r="A24" s="21" t="inlineStr">
        <is>
          <t>Popular athletes lost to churn</t>
        </is>
      </c>
      <c r="B24" s="22" t="inlineStr"/>
      <c r="C24" s="25">
        <f>IF(1=1,0,C7*Assumptions!C26)</f>
        <v/>
      </c>
      <c r="D24" s="25">
        <f>IF(2=1,0,C7*Assumptions!D26)</f>
        <v/>
      </c>
      <c r="E24" s="25">
        <f>IF(3=1,0,D7*Assumptions!E26)</f>
        <v/>
      </c>
      <c r="F24" s="25">
        <f>IF(4=1,0,E7*Assumptions!F26)</f>
        <v/>
      </c>
      <c r="G24" s="25">
        <f>IF(5=1,0,F7*Assumptions!G26)</f>
        <v/>
      </c>
      <c r="H24" s="25">
        <f>IF(6=1,0,G7*Assumptions!H26)</f>
        <v/>
      </c>
      <c r="I24" s="25">
        <f>IF(7=1,0,H7*Assumptions!I26)</f>
        <v/>
      </c>
      <c r="J24" s="25">
        <f>IF(8=1,0,I7*Assumptions!J26)</f>
        <v/>
      </c>
      <c r="K24" s="25">
        <f>IF(9=1,0,J7*Assumptions!K26)</f>
        <v/>
      </c>
      <c r="L24" s="25">
        <f>IF(10=1,0,K7*Assumptions!L26)</f>
        <v/>
      </c>
    </row>
    <row r="25">
      <c r="A25" s="21" t="inlineStr">
        <is>
          <t>Popular athletes acquired (gross)</t>
        </is>
      </c>
      <c r="B25" s="22" t="inlineStr"/>
      <c r="C25" s="46">
        <f>MAX(0,C7-IF(1=1,0,C7)+C24)</f>
        <v/>
      </c>
      <c r="D25" s="46">
        <f>MAX(0,D7-IF(2=1,0,C7)+D24)</f>
        <v/>
      </c>
      <c r="E25" s="46">
        <f>MAX(0,E7-IF(3=1,0,D7)+E24)</f>
        <v/>
      </c>
      <c r="F25" s="46">
        <f>MAX(0,F7-IF(4=1,0,E7)+F24)</f>
        <v/>
      </c>
      <c r="G25" s="46">
        <f>MAX(0,G7-IF(5=1,0,F7)+G24)</f>
        <v/>
      </c>
      <c r="H25" s="46">
        <f>MAX(0,H7-IF(6=1,0,G7)+H24)</f>
        <v/>
      </c>
      <c r="I25" s="46">
        <f>MAX(0,I7-IF(7=1,0,H7)+I24)</f>
        <v/>
      </c>
      <c r="J25" s="46">
        <f>MAX(0,J7-IF(8=1,0,I7)+J24)</f>
        <v/>
      </c>
      <c r="K25" s="46">
        <f>MAX(0,K7-IF(9=1,0,J7)+K24)</f>
        <v/>
      </c>
      <c r="L25" s="46">
        <f>MAX(0,L7-IF(10=1,0,K7)+L24)</f>
        <v/>
      </c>
    </row>
    <row r="26">
      <c r="A26" s="21" t="inlineStr">
        <is>
          <t>Popular monetising athletes</t>
        </is>
      </c>
      <c r="B26" s="22" t="inlineStr"/>
      <c r="C26" s="25">
        <f>C7*Assumptions!C22</f>
        <v/>
      </c>
      <c r="D26" s="25">
        <f>D7*Assumptions!D22</f>
        <v/>
      </c>
      <c r="E26" s="25">
        <f>E7*Assumptions!E22</f>
        <v/>
      </c>
      <c r="F26" s="25">
        <f>F7*Assumptions!F22</f>
        <v/>
      </c>
      <c r="G26" s="25">
        <f>G7*Assumptions!G22</f>
        <v/>
      </c>
      <c r="H26" s="25">
        <f>H7*Assumptions!H22</f>
        <v/>
      </c>
      <c r="I26" s="25">
        <f>I7*Assumptions!I22</f>
        <v/>
      </c>
      <c r="J26" s="25">
        <f>J7*Assumptions!J22</f>
        <v/>
      </c>
      <c r="K26" s="25">
        <f>K7*Assumptions!K22</f>
        <v/>
      </c>
      <c r="L26" s="25">
        <f>L7*Assumptions!L22</f>
        <v/>
      </c>
    </row>
    <row r="27">
      <c r="A27" s="21" t="inlineStr">
        <is>
          <t>Popular paying fans (target, year end)</t>
        </is>
      </c>
      <c r="B27" s="22" t="inlineStr"/>
      <c r="C27" s="25">
        <f>C26*Assumptions!C23</f>
        <v/>
      </c>
      <c r="D27" s="25">
        <f>D26*Assumptions!D23</f>
        <v/>
      </c>
      <c r="E27" s="25">
        <f>E26*Assumptions!E23</f>
        <v/>
      </c>
      <c r="F27" s="25">
        <f>F26*Assumptions!F23</f>
        <v/>
      </c>
      <c r="G27" s="25">
        <f>G26*Assumptions!G23</f>
        <v/>
      </c>
      <c r="H27" s="25">
        <f>H26*Assumptions!H23</f>
        <v/>
      </c>
      <c r="I27" s="25">
        <f>I26*Assumptions!I23</f>
        <v/>
      </c>
      <c r="J27" s="25">
        <f>J26*Assumptions!J23</f>
        <v/>
      </c>
      <c r="K27" s="25">
        <f>K26*Assumptions!K23</f>
        <v/>
      </c>
      <c r="L27" s="25">
        <f>L26*Assumptions!L23</f>
        <v/>
      </c>
    </row>
    <row r="28">
      <c r="A28" s="21" t="inlineStr">
        <is>
          <t>Popular monthly retention r = 1-churn</t>
        </is>
      </c>
      <c r="B28" s="22" t="inlineStr">
        <is>
          <t>factor</t>
        </is>
      </c>
      <c r="C28" s="41">
        <f>1-Assumptions!C25</f>
        <v/>
      </c>
      <c r="D28" s="41">
        <f>1-Assumptions!D25</f>
        <v/>
      </c>
      <c r="E28" s="41">
        <f>1-Assumptions!E25</f>
        <v/>
      </c>
      <c r="F28" s="41">
        <f>1-Assumptions!F25</f>
        <v/>
      </c>
      <c r="G28" s="41">
        <f>1-Assumptions!G25</f>
        <v/>
      </c>
      <c r="H28" s="41">
        <f>1-Assumptions!H25</f>
        <v/>
      </c>
      <c r="I28" s="41">
        <f>1-Assumptions!I25</f>
        <v/>
      </c>
      <c r="J28" s="41">
        <f>1-Assumptions!J25</f>
        <v/>
      </c>
      <c r="K28" s="41">
        <f>1-Assumptions!K25</f>
        <v/>
      </c>
      <c r="L28" s="41">
        <f>1-Assumptions!L25</f>
        <v/>
      </c>
    </row>
    <row r="29">
      <c r="A29" s="21" t="inlineStr">
        <is>
          <t>Popular opening fans survived 12 months</t>
        </is>
      </c>
      <c r="B29" s="22" t="inlineStr">
        <is>
          <t>open x r^12</t>
        </is>
      </c>
      <c r="C29" s="46">
        <f>0</f>
        <v/>
      </c>
      <c r="D29" s="46">
        <f>C31*D28^12</f>
        <v/>
      </c>
      <c r="E29" s="46">
        <f>D31*E28^12</f>
        <v/>
      </c>
      <c r="F29" s="46">
        <f>E31*F28^12</f>
        <v/>
      </c>
      <c r="G29" s="46">
        <f>F31*G28^12</f>
        <v/>
      </c>
      <c r="H29" s="46">
        <f>G31*H28^12</f>
        <v/>
      </c>
      <c r="I29" s="46">
        <f>H31*I28^12</f>
        <v/>
      </c>
      <c r="J29" s="46">
        <f>I31*J28^12</f>
        <v/>
      </c>
      <c r="K29" s="46">
        <f>J31*K28^12</f>
        <v/>
      </c>
      <c r="L29" s="46">
        <f>K31*L28^12</f>
        <v/>
      </c>
    </row>
    <row r="30">
      <c r="A30" s="21" t="inlineStr">
        <is>
          <t>Popular monthly gross adds</t>
        </is>
      </c>
      <c r="B30" s="22" t="inlineStr">
        <is>
          <t>solved, then capped by capacity</t>
        </is>
      </c>
      <c r="C30" s="25">
        <f>MIN(MAX(0,(C27-C29)/((1-C28^12)/(1-C28))),C26*Assumptions!C27/12)</f>
        <v/>
      </c>
      <c r="D30" s="25">
        <f>MIN(MAX(0,(D27-D29)/((1-D28^12)/(1-D28))),D26*Assumptions!D27/12)</f>
        <v/>
      </c>
      <c r="E30" s="25">
        <f>MIN(MAX(0,(E27-E29)/((1-E28^12)/(1-E28))),E26*Assumptions!E27/12)</f>
        <v/>
      </c>
      <c r="F30" s="25">
        <f>MIN(MAX(0,(F27-F29)/((1-F28^12)/(1-F28))),F26*Assumptions!F27/12)</f>
        <v/>
      </c>
      <c r="G30" s="25">
        <f>MIN(MAX(0,(G27-G29)/((1-G28^12)/(1-G28))),G26*Assumptions!G27/12)</f>
        <v/>
      </c>
      <c r="H30" s="25">
        <f>MIN(MAX(0,(H27-H29)/((1-H28^12)/(1-H28))),H26*Assumptions!H27/12)</f>
        <v/>
      </c>
      <c r="I30" s="25">
        <f>MIN(MAX(0,(I27-I29)/((1-I28^12)/(1-I28))),I26*Assumptions!I27/12)</f>
        <v/>
      </c>
      <c r="J30" s="25">
        <f>MIN(MAX(0,(J27-J29)/((1-J28^12)/(1-J28))),J26*Assumptions!J27/12)</f>
        <v/>
      </c>
      <c r="K30" s="25">
        <f>MIN(MAX(0,(K27-K29)/((1-K28^12)/(1-K28))),K26*Assumptions!K27/12)</f>
        <v/>
      </c>
      <c r="L30" s="25">
        <f>MIN(MAX(0,(L27-L29)/((1-L28^12)/(1-L28))),L26*Assumptions!L27/12)</f>
        <v/>
      </c>
    </row>
    <row r="31">
      <c r="A31" s="47" t="inlineStr">
        <is>
          <t>Popular paying fans (year end)</t>
        </is>
      </c>
      <c r="B31" s="48" t="inlineStr">
        <is>
          <t>survivors + capped adds</t>
        </is>
      </c>
      <c r="C31" s="49">
        <f>C29+C30*(1-C28^12)/(1-C28)</f>
        <v/>
      </c>
      <c r="D31" s="49">
        <f>D29+D30*(1-D28^12)/(1-D28)</f>
        <v/>
      </c>
      <c r="E31" s="49">
        <f>E29+E30*(1-E28^12)/(1-E28)</f>
        <v/>
      </c>
      <c r="F31" s="49">
        <f>F29+F30*(1-F28^12)/(1-F28)</f>
        <v/>
      </c>
      <c r="G31" s="49">
        <f>G29+G30*(1-G28^12)/(1-G28)</f>
        <v/>
      </c>
      <c r="H31" s="49">
        <f>H29+H30*(1-H28^12)/(1-H28)</f>
        <v/>
      </c>
      <c r="I31" s="49">
        <f>I29+I30*(1-I28^12)/(1-I28)</f>
        <v/>
      </c>
      <c r="J31" s="49">
        <f>J29+J30*(1-J28^12)/(1-J28)</f>
        <v/>
      </c>
      <c r="K31" s="49">
        <f>K29+K30*(1-K28^12)/(1-K28)</f>
        <v/>
      </c>
      <c r="L31" s="49">
        <f>L29+L30*(1-L28^12)/(1-L28)</f>
        <v/>
      </c>
    </row>
    <row r="32">
      <c r="A32" s="21" t="inlineStr">
        <is>
          <t>Popular fans acquired (gross)</t>
        </is>
      </c>
      <c r="B32" s="22" t="inlineStr">
        <is>
          <t>x12 months</t>
        </is>
      </c>
      <c r="C32" s="46">
        <f>C30*12</f>
        <v/>
      </c>
      <c r="D32" s="46">
        <f>D30*12</f>
        <v/>
      </c>
      <c r="E32" s="46">
        <f>E30*12</f>
        <v/>
      </c>
      <c r="F32" s="46">
        <f>F30*12</f>
        <v/>
      </c>
      <c r="G32" s="46">
        <f>G30*12</f>
        <v/>
      </c>
      <c r="H32" s="46">
        <f>H30*12</f>
        <v/>
      </c>
      <c r="I32" s="46">
        <f>I30*12</f>
        <v/>
      </c>
      <c r="J32" s="46">
        <f>J30*12</f>
        <v/>
      </c>
      <c r="K32" s="46">
        <f>K30*12</f>
        <v/>
      </c>
      <c r="L32" s="46">
        <f>L30*12</f>
        <v/>
      </c>
    </row>
    <row r="33">
      <c r="A33" s="21" t="inlineStr">
        <is>
          <t>Popular S = r(1-r^12)/(1-r)</t>
        </is>
      </c>
      <c r="B33" s="22" t="inlineStr">
        <is>
          <t>geometric sum</t>
        </is>
      </c>
      <c r="C33" s="50">
        <f>C28*(1-C28^12)/(1-C28)</f>
        <v/>
      </c>
      <c r="D33" s="50">
        <f>D28*(1-D28^12)/(1-D28)</f>
        <v/>
      </c>
      <c r="E33" s="50">
        <f>E28*(1-E28^12)/(1-E28)</f>
        <v/>
      </c>
      <c r="F33" s="50">
        <f>F28*(1-F28^12)/(1-F28)</f>
        <v/>
      </c>
      <c r="G33" s="50">
        <f>G28*(1-G28^12)/(1-G28)</f>
        <v/>
      </c>
      <c r="H33" s="50">
        <f>H28*(1-H28^12)/(1-H28)</f>
        <v/>
      </c>
      <c r="I33" s="50">
        <f>I28*(1-I28^12)/(1-I28)</f>
        <v/>
      </c>
      <c r="J33" s="50">
        <f>J28*(1-J28^12)/(1-J28)</f>
        <v/>
      </c>
      <c r="K33" s="50">
        <f>K28*(1-K28^12)/(1-K28)</f>
        <v/>
      </c>
      <c r="L33" s="50">
        <f>L28*(1-L28^12)/(1-L28)</f>
        <v/>
      </c>
    </row>
    <row r="34">
      <c r="A34" s="47" t="inlineStr">
        <is>
          <t>Popular average fans during year</t>
        </is>
      </c>
      <c r="B34" s="48" t="inlineStr">
        <is>
          <t>exact mean, revenue basis</t>
        </is>
      </c>
      <c r="C34" s="49">
        <f>(C30/(1-C28)*(12-C33))/12</f>
        <v/>
      </c>
      <c r="D34" s="49">
        <f>(C31*D33+D30/(1-D28)*(12-D33))/12</f>
        <v/>
      </c>
      <c r="E34" s="49">
        <f>(D31*E33+E30/(1-E28)*(12-E33))/12</f>
        <v/>
      </c>
      <c r="F34" s="49">
        <f>(E31*F33+F30/(1-F28)*(12-F33))/12</f>
        <v/>
      </c>
      <c r="G34" s="49">
        <f>(F31*G33+G30/(1-G28)*(12-G33))/12</f>
        <v/>
      </c>
      <c r="H34" s="49">
        <f>(G31*H33+H30/(1-H28)*(12-H33))/12</f>
        <v/>
      </c>
      <c r="I34" s="49">
        <f>(H31*I33+I30/(1-I28)*(12-I33))/12</f>
        <v/>
      </c>
      <c r="J34" s="49">
        <f>(I31*J33+J30/(1-J28)*(12-J33))/12</f>
        <v/>
      </c>
      <c r="K34" s="49">
        <f>(J31*K33+K30/(1-K28)*(12-K33))/12</f>
        <v/>
      </c>
      <c r="L34" s="49">
        <f>(K31*L33+L30/(1-L28)*(12-L33))/12</f>
        <v/>
      </c>
    </row>
    <row r="35">
      <c r="A35" s="21" t="inlineStr">
        <is>
          <t>Popular fans lost to churn</t>
        </is>
      </c>
      <c r="B35" s="22" t="inlineStr">
        <is>
          <t>avg x churn x 12</t>
        </is>
      </c>
      <c r="C35" s="25">
        <f>C34*12*Assumptions!C25</f>
        <v/>
      </c>
      <c r="D35" s="25">
        <f>D34*12*Assumptions!D25</f>
        <v/>
      </c>
      <c r="E35" s="25">
        <f>E34*12*Assumptions!E25</f>
        <v/>
      </c>
      <c r="F35" s="25">
        <f>F34*12*Assumptions!F25</f>
        <v/>
      </c>
      <c r="G35" s="25">
        <f>G34*12*Assumptions!G25</f>
        <v/>
      </c>
      <c r="H35" s="25">
        <f>H34*12*Assumptions!H25</f>
        <v/>
      </c>
      <c r="I35" s="25">
        <f>I34*12*Assumptions!I25</f>
        <v/>
      </c>
      <c r="J35" s="25">
        <f>J34*12*Assumptions!J25</f>
        <v/>
      </c>
      <c r="K35" s="25">
        <f>K34*12*Assumptions!K25</f>
        <v/>
      </c>
      <c r="L35" s="25">
        <f>L34*12*Assumptions!L25</f>
        <v/>
      </c>
    </row>
    <row r="37">
      <c r="A37" s="19" t="inlineStr">
        <is>
          <t>TOTALS</t>
        </is>
      </c>
      <c r="B37" s="20" t="n"/>
      <c r="C37" s="20" t="n"/>
      <c r="D37" s="20" t="n"/>
      <c r="E37" s="20" t="n"/>
      <c r="F37" s="20" t="n"/>
      <c r="G37" s="20" t="n"/>
      <c r="H37" s="20" t="n"/>
      <c r="I37" s="20" t="n"/>
      <c r="J37" s="20" t="n"/>
      <c r="K37" s="20" t="n"/>
      <c r="L37" s="20" t="n"/>
    </row>
    <row r="38">
      <c r="A38" s="47" t="inlineStr">
        <is>
          <t>Paying fans (year end)</t>
        </is>
      </c>
      <c r="B38" s="48" t="inlineStr"/>
      <c r="C38" s="49">
        <f>C17+C31</f>
        <v/>
      </c>
      <c r="D38" s="49">
        <f>D17+D31</f>
        <v/>
      </c>
      <c r="E38" s="49">
        <f>E17+E31</f>
        <v/>
      </c>
      <c r="F38" s="49">
        <f>F17+F31</f>
        <v/>
      </c>
      <c r="G38" s="49">
        <f>G17+G31</f>
        <v/>
      </c>
      <c r="H38" s="49">
        <f>H17+H31</f>
        <v/>
      </c>
      <c r="I38" s="49">
        <f>I17+I31</f>
        <v/>
      </c>
      <c r="J38" s="49">
        <f>J17+J31</f>
        <v/>
      </c>
      <c r="K38" s="49">
        <f>K17+K31</f>
        <v/>
      </c>
      <c r="L38" s="49">
        <f>L17+L31</f>
        <v/>
      </c>
    </row>
    <row r="39">
      <c r="A39" s="47" t="inlineStr">
        <is>
          <t>Average paying fans</t>
        </is>
      </c>
      <c r="B39" s="48" t="inlineStr"/>
      <c r="C39" s="49">
        <f>C20+C34</f>
        <v/>
      </c>
      <c r="D39" s="49">
        <f>D20+D34</f>
        <v/>
      </c>
      <c r="E39" s="49">
        <f>E20+E34</f>
        <v/>
      </c>
      <c r="F39" s="49">
        <f>F20+F34</f>
        <v/>
      </c>
      <c r="G39" s="49">
        <f>G20+G34</f>
        <v/>
      </c>
      <c r="H39" s="49">
        <f>H20+H34</f>
        <v/>
      </c>
      <c r="I39" s="49">
        <f>I20+I34</f>
        <v/>
      </c>
      <c r="J39" s="49">
        <f>J20+J34</f>
        <v/>
      </c>
      <c r="K39" s="49">
        <f>K20+K34</f>
        <v/>
      </c>
      <c r="L39" s="49">
        <f>L20+L34</f>
        <v/>
      </c>
    </row>
    <row r="40">
      <c r="A40" s="21" t="inlineStr">
        <is>
          <t>Athletes acquired (gross)</t>
        </is>
      </c>
      <c r="B40" s="22" t="inlineStr"/>
      <c r="C40" s="46">
        <f>C11+C25</f>
        <v/>
      </c>
      <c r="D40" s="46">
        <f>D11+D25</f>
        <v/>
      </c>
      <c r="E40" s="46">
        <f>E11+E25</f>
        <v/>
      </c>
      <c r="F40" s="46">
        <f>F11+F25</f>
        <v/>
      </c>
      <c r="G40" s="46">
        <f>G11+G25</f>
        <v/>
      </c>
      <c r="H40" s="46">
        <f>H11+H25</f>
        <v/>
      </c>
      <c r="I40" s="46">
        <f>I11+I25</f>
        <v/>
      </c>
      <c r="J40" s="46">
        <f>J11+J25</f>
        <v/>
      </c>
      <c r="K40" s="46">
        <f>K11+K25</f>
        <v/>
      </c>
      <c r="L40" s="46">
        <f>L11+L25</f>
        <v/>
      </c>
    </row>
    <row r="41">
      <c r="A41" s="21" t="inlineStr">
        <is>
          <t>Fans lost to churn</t>
        </is>
      </c>
      <c r="B41" s="22" t="inlineStr"/>
      <c r="C41" s="46">
        <f>C21+C35</f>
        <v/>
      </c>
      <c r="D41" s="46">
        <f>D21+D35</f>
        <v/>
      </c>
      <c r="E41" s="46">
        <f>E21+E35</f>
        <v/>
      </c>
      <c r="F41" s="46">
        <f>F21+F35</f>
        <v/>
      </c>
      <c r="G41" s="46">
        <f>G21+G35</f>
        <v/>
      </c>
      <c r="H41" s="46">
        <f>H21+H35</f>
        <v/>
      </c>
      <c r="I41" s="46">
        <f>I21+I35</f>
        <v/>
      </c>
      <c r="J41" s="46">
        <f>J21+J35</f>
        <v/>
      </c>
      <c r="K41" s="46">
        <f>K21+K35</f>
        <v/>
      </c>
      <c r="L41" s="46">
        <f>L21+L35</f>
        <v/>
      </c>
    </row>
    <row r="43">
      <c r="A43" s="19" t="inlineStr">
        <is>
          <t>DEALS</t>
        </is>
      </c>
      <c r="B43" s="20" t="n"/>
      <c r="C43" s="20" t="n"/>
      <c r="D43" s="20" t="n"/>
      <c r="E43" s="20" t="n"/>
      <c r="F43" s="20" t="n"/>
      <c r="G43" s="20" t="n"/>
      <c r="H43" s="20" t="n"/>
      <c r="I43" s="20" t="n"/>
      <c r="J43" s="20" t="n"/>
      <c r="K43" s="20" t="n"/>
      <c r="L43" s="20" t="n"/>
    </row>
    <row r="44">
      <c r="A44" s="21" t="inlineStr">
        <is>
          <t>Niche deals</t>
        </is>
      </c>
      <c r="B44" s="22" t="inlineStr"/>
      <c r="C44" s="25">
        <f>C6*Assumptions!C16*Assumptions!C17</f>
        <v/>
      </c>
      <c r="D44" s="25">
        <f>D6*Assumptions!D16*Assumptions!D17</f>
        <v/>
      </c>
      <c r="E44" s="25">
        <f>E6*Assumptions!E16*Assumptions!E17</f>
        <v/>
      </c>
      <c r="F44" s="25">
        <f>F6*Assumptions!F16*Assumptions!F17</f>
        <v/>
      </c>
      <c r="G44" s="25">
        <f>G6*Assumptions!G16*Assumptions!G17</f>
        <v/>
      </c>
      <c r="H44" s="25">
        <f>H6*Assumptions!H16*Assumptions!H17</f>
        <v/>
      </c>
      <c r="I44" s="25">
        <f>I6*Assumptions!I16*Assumptions!I17</f>
        <v/>
      </c>
      <c r="J44" s="25">
        <f>J6*Assumptions!J16*Assumptions!J17</f>
        <v/>
      </c>
      <c r="K44" s="25">
        <f>K6*Assumptions!K16*Assumptions!K17</f>
        <v/>
      </c>
      <c r="L44" s="25">
        <f>L6*Assumptions!L16*Assumptions!L17</f>
        <v/>
      </c>
    </row>
    <row r="45">
      <c r="A45" s="21" t="inlineStr">
        <is>
          <t>Popular deals</t>
        </is>
      </c>
      <c r="B45" s="22" t="inlineStr"/>
      <c r="C45" s="25">
        <f>C7*Assumptions!C28*Assumptions!C29</f>
        <v/>
      </c>
      <c r="D45" s="25">
        <f>D7*Assumptions!D28*Assumptions!D29</f>
        <v/>
      </c>
      <c r="E45" s="25">
        <f>E7*Assumptions!E28*Assumptions!E29</f>
        <v/>
      </c>
      <c r="F45" s="25">
        <f>F7*Assumptions!F28*Assumptions!F29</f>
        <v/>
      </c>
      <c r="G45" s="25">
        <f>G7*Assumptions!G28*Assumptions!G29</f>
        <v/>
      </c>
      <c r="H45" s="25">
        <f>H7*Assumptions!H28*Assumptions!H29</f>
        <v/>
      </c>
      <c r="I45" s="25">
        <f>I7*Assumptions!I28*Assumptions!I29</f>
        <v/>
      </c>
      <c r="J45" s="25">
        <f>J7*Assumptions!J28*Assumptions!J29</f>
        <v/>
      </c>
      <c r="K45" s="25">
        <f>K7*Assumptions!K28*Assumptions!K29</f>
        <v/>
      </c>
      <c r="L45" s="25">
        <f>L7*Assumptions!L28*Assumptions!L29</f>
        <v/>
      </c>
    </row>
    <row r="46">
      <c r="A46" s="47" t="inlineStr">
        <is>
          <t>Total deals</t>
        </is>
      </c>
      <c r="B46" s="48" t="inlineStr"/>
      <c r="C46" s="49">
        <f>C44+C45</f>
        <v/>
      </c>
      <c r="D46" s="49">
        <f>D44+D45</f>
        <v/>
      </c>
      <c r="E46" s="49">
        <f>E44+E45</f>
        <v/>
      </c>
      <c r="F46" s="49">
        <f>F44+F45</f>
        <v/>
      </c>
      <c r="G46" s="49">
        <f>G44+G45</f>
        <v/>
      </c>
      <c r="H46" s="49">
        <f>H44+H45</f>
        <v/>
      </c>
      <c r="I46" s="49">
        <f>I44+I45</f>
        <v/>
      </c>
      <c r="J46" s="49">
        <f>J44+J45</f>
        <v/>
      </c>
      <c r="K46" s="49">
        <f>K44+K45</f>
        <v/>
      </c>
      <c r="L46" s="49">
        <f>L44+L45</f>
        <v/>
      </c>
    </row>
    <row r="47">
      <c r="A47" s="21" t="inlineStr">
        <is>
          <t>Supply factor</t>
        </is>
      </c>
      <c r="B47" s="22" t="inlineStr">
        <is>
          <t>athletes / floor, capped at 1</t>
        </is>
      </c>
      <c r="C47" s="41">
        <f>MIN(1,C5/Assumptions!C7)</f>
        <v/>
      </c>
      <c r="D47" s="41">
        <f>MIN(1,D5/Assumptions!D7)</f>
        <v/>
      </c>
      <c r="E47" s="41">
        <f>MIN(1,E5/Assumptions!E7)</f>
        <v/>
      </c>
      <c r="F47" s="41">
        <f>MIN(1,F5/Assumptions!F7)</f>
        <v/>
      </c>
      <c r="G47" s="41">
        <f>MIN(1,G5/Assumptions!G7)</f>
        <v/>
      </c>
      <c r="H47" s="41">
        <f>MIN(1,H5/Assumptions!H7)</f>
        <v/>
      </c>
      <c r="I47" s="41">
        <f>MIN(1,I5/Assumptions!I7)</f>
        <v/>
      </c>
      <c r="J47" s="41">
        <f>MIN(1,J5/Assumptions!J7)</f>
        <v/>
      </c>
      <c r="K47" s="41">
        <f>MIN(1,K5/Assumptions!K7)</f>
        <v/>
      </c>
      <c r="L47" s="41">
        <f>MIN(1,L5/Assumptions!L7)</f>
        <v/>
      </c>
    </row>
    <row r="48">
      <c r="A48" s="21" t="inlineStr">
        <is>
          <t>Paying sponsors</t>
        </is>
      </c>
      <c r="B48" s="22" t="inlineStr"/>
      <c r="C48" s="25">
        <f>Assumptions!C34*Assumptions!C35*C47</f>
        <v/>
      </c>
      <c r="D48" s="25">
        <f>Assumptions!D34*Assumptions!D35*D47</f>
        <v/>
      </c>
      <c r="E48" s="25">
        <f>Assumptions!E34*Assumptions!E35*E47</f>
        <v/>
      </c>
      <c r="F48" s="25">
        <f>Assumptions!F34*Assumptions!F35*F47</f>
        <v/>
      </c>
      <c r="G48" s="25">
        <f>Assumptions!G34*Assumptions!G35*G47</f>
        <v/>
      </c>
      <c r="H48" s="25">
        <f>Assumptions!H34*Assumptions!H35*H47</f>
        <v/>
      </c>
      <c r="I48" s="25">
        <f>Assumptions!I34*Assumptions!I35*I47</f>
        <v/>
      </c>
      <c r="J48" s="25">
        <f>Assumptions!J34*Assumptions!J35*J47</f>
        <v/>
      </c>
      <c r="K48" s="25">
        <f>Assumptions!K34*Assumptions!K35*K47</f>
        <v/>
      </c>
      <c r="L48" s="25">
        <f>Assumptions!L34*Assumptions!L35*L47</f>
        <v/>
      </c>
    </row>
    <row r="49">
      <c r="A49" s="21" t="inlineStr">
        <is>
          <t>Sponsors acquired (gross)</t>
        </is>
      </c>
      <c r="B49" s="22" t="inlineStr"/>
      <c r="C49" s="25">
        <f>MAX(0,Assumptions!C34-IF(1=1,0,Assumptions!C34))</f>
        <v/>
      </c>
      <c r="D49" s="25">
        <f>MAX(0,Assumptions!D34-IF(2=1,0,Assumptions!C34))</f>
        <v/>
      </c>
      <c r="E49" s="25">
        <f>MAX(0,Assumptions!E34-IF(3=1,0,Assumptions!D34))</f>
        <v/>
      </c>
      <c r="F49" s="25">
        <f>MAX(0,Assumptions!F34-IF(4=1,0,Assumptions!E34))</f>
        <v/>
      </c>
      <c r="G49" s="25">
        <f>MAX(0,Assumptions!G34-IF(5=1,0,Assumptions!F34))</f>
        <v/>
      </c>
      <c r="H49" s="25">
        <f>MAX(0,Assumptions!H34-IF(6=1,0,Assumptions!G34))</f>
        <v/>
      </c>
      <c r="I49" s="25">
        <f>MAX(0,Assumptions!I34-IF(7=1,0,Assumptions!H34))</f>
        <v/>
      </c>
      <c r="J49" s="25">
        <f>MAX(0,Assumptions!J34-IF(8=1,0,Assumptions!I34))</f>
        <v/>
      </c>
      <c r="K49" s="25">
        <f>MAX(0,Assumptions!K34-IF(9=1,0,Assumptions!J34))</f>
        <v/>
      </c>
      <c r="L49" s="25">
        <f>MAX(0,Assumptions!L34-IF(10=1,0,Assumptions!K34))</f>
        <v/>
      </c>
    </row>
    <row r="51">
      <c r="A51" s="19" t="inlineStr">
        <is>
          <t>ADMISSION FUNNEL</t>
        </is>
      </c>
      <c r="B51" s="20" t="n"/>
      <c r="C51" s="20" t="n"/>
      <c r="D51" s="20" t="n"/>
      <c r="E51" s="20" t="n"/>
      <c r="F51" s="20" t="n"/>
      <c r="G51" s="20" t="n"/>
      <c r="H51" s="20" t="n"/>
      <c r="I51" s="20" t="n"/>
      <c r="J51" s="20" t="n"/>
      <c r="K51" s="20" t="n"/>
      <c r="L51" s="20" t="n"/>
    </row>
    <row r="52">
      <c r="A52" s="21" t="inlineStr">
        <is>
          <t>Blended admission rate</t>
        </is>
      </c>
      <c r="B52" s="22" t="inlineStr">
        <is>
          <t>weighted by channel</t>
        </is>
      </c>
      <c r="C52" s="31">
        <f>Assumptions!C86*Assumptions!C84+(1-Assumptions!C86)*Assumptions!C82</f>
        <v/>
      </c>
      <c r="D52" s="31">
        <f>Assumptions!D86*Assumptions!D84+(1-Assumptions!D86)*Assumptions!D82</f>
        <v/>
      </c>
      <c r="E52" s="31">
        <f>Assumptions!E86*Assumptions!E84+(1-Assumptions!E86)*Assumptions!E82</f>
        <v/>
      </c>
      <c r="F52" s="31">
        <f>Assumptions!F86*Assumptions!F84+(1-Assumptions!F86)*Assumptions!F82</f>
        <v/>
      </c>
      <c r="G52" s="31">
        <f>Assumptions!G86*Assumptions!G84+(1-Assumptions!G86)*Assumptions!G82</f>
        <v/>
      </c>
      <c r="H52" s="31">
        <f>Assumptions!H86*Assumptions!H84+(1-Assumptions!H86)*Assumptions!H82</f>
        <v/>
      </c>
      <c r="I52" s="31">
        <f>Assumptions!I86*Assumptions!I84+(1-Assumptions!I86)*Assumptions!I82</f>
        <v/>
      </c>
      <c r="J52" s="31">
        <f>Assumptions!J86*Assumptions!J84+(1-Assumptions!J86)*Assumptions!J82</f>
        <v/>
      </c>
      <c r="K52" s="31">
        <f>Assumptions!K86*Assumptions!K84+(1-Assumptions!K86)*Assumptions!K82</f>
        <v/>
      </c>
      <c r="L52" s="31">
        <f>Assumptions!L86*Assumptions!L84+(1-Assumptions!L86)*Assumptions!L82</f>
        <v/>
      </c>
    </row>
    <row r="53">
      <c r="A53" s="21" t="inlineStr">
        <is>
          <t>Blended review rate</t>
        </is>
      </c>
      <c r="B53" s="22" t="inlineStr">
        <is>
          <t>weighted by channel</t>
        </is>
      </c>
      <c r="C53" s="31">
        <f>Assumptions!C86*Assumptions!C85+(1-Assumptions!C86)*Assumptions!C83</f>
        <v/>
      </c>
      <c r="D53" s="31">
        <f>Assumptions!D86*Assumptions!D85+(1-Assumptions!D86)*Assumptions!D83</f>
        <v/>
      </c>
      <c r="E53" s="31">
        <f>Assumptions!E86*Assumptions!E85+(1-Assumptions!E86)*Assumptions!E83</f>
        <v/>
      </c>
      <c r="F53" s="31">
        <f>Assumptions!F86*Assumptions!F85+(1-Assumptions!F86)*Assumptions!F83</f>
        <v/>
      </c>
      <c r="G53" s="31">
        <f>Assumptions!G86*Assumptions!G85+(1-Assumptions!G86)*Assumptions!G83</f>
        <v/>
      </c>
      <c r="H53" s="31">
        <f>Assumptions!H86*Assumptions!H85+(1-Assumptions!H86)*Assumptions!H83</f>
        <v/>
      </c>
      <c r="I53" s="31">
        <f>Assumptions!I86*Assumptions!I85+(1-Assumptions!I86)*Assumptions!I83</f>
        <v/>
      </c>
      <c r="J53" s="31">
        <f>Assumptions!J86*Assumptions!J85+(1-Assumptions!J86)*Assumptions!J83</f>
        <v/>
      </c>
      <c r="K53" s="31">
        <f>Assumptions!K86*Assumptions!K85+(1-Assumptions!K86)*Assumptions!K83</f>
        <v/>
      </c>
      <c r="L53" s="31">
        <f>Assumptions!L86*Assumptions!L85+(1-Assumptions!L86)*Assumptions!L83</f>
        <v/>
      </c>
    </row>
    <row r="54">
      <c r="A54" s="21" t="inlineStr">
        <is>
          <t>Applications required</t>
        </is>
      </c>
      <c r="B54" s="22" t="inlineStr">
        <is>
          <t>gross adds / admission rate</t>
        </is>
      </c>
      <c r="C54" s="46">
        <f>C40/C52</f>
        <v/>
      </c>
      <c r="D54" s="46">
        <f>D40/D52</f>
        <v/>
      </c>
      <c r="E54" s="46">
        <f>E40/E52</f>
        <v/>
      </c>
      <c r="F54" s="46">
        <f>F40/F52</f>
        <v/>
      </c>
      <c r="G54" s="46">
        <f>G40/G52</f>
        <v/>
      </c>
      <c r="H54" s="46">
        <f>H40/H52</f>
        <v/>
      </c>
      <c r="I54" s="46">
        <f>I40/I52</f>
        <v/>
      </c>
      <c r="J54" s="46">
        <f>J40/J52</f>
        <v/>
      </c>
      <c r="K54" s="46">
        <f>K40/K52</f>
        <v/>
      </c>
      <c r="L54" s="46">
        <f>L40/L52</f>
        <v/>
      </c>
    </row>
    <row r="55">
      <c r="A55" s="21" t="inlineStr">
        <is>
          <t>Manual reviews</t>
        </is>
      </c>
      <c r="B55" s="22" t="inlineStr">
        <is>
          <t>applications x review rate</t>
        </is>
      </c>
      <c r="C55" s="46">
        <f>C54*C53</f>
        <v/>
      </c>
      <c r="D55" s="46">
        <f>D54*D53</f>
        <v/>
      </c>
      <c r="E55" s="46">
        <f>E54*E53</f>
        <v/>
      </c>
      <c r="F55" s="46">
        <f>F54*F53</f>
        <v/>
      </c>
      <c r="G55" s="46">
        <f>G54*G53</f>
        <v/>
      </c>
      <c r="H55" s="46">
        <f>H54*H53</f>
        <v/>
      </c>
      <c r="I55" s="46">
        <f>I54*I53</f>
        <v/>
      </c>
      <c r="J55" s="46">
        <f>J54*J53</f>
        <v/>
      </c>
      <c r="K55" s="46">
        <f>K54*K53</f>
        <v/>
      </c>
      <c r="L55" s="46">
        <f>L54*L53</f>
        <v/>
      </c>
    </row>
    <row r="56">
      <c r="A56" s="21" t="inlineStr">
        <is>
          <t>Reviewer FTE implied</t>
        </is>
      </c>
      <c r="B56" s="22" t="inlineStr">
        <is>
          <t>the real constraint, not the euros</t>
        </is>
      </c>
      <c r="C56" s="33">
        <f>C55*Assumptions!C87/60/Assumptions!C88</f>
        <v/>
      </c>
      <c r="D56" s="33">
        <f>D55*Assumptions!D87/60/Assumptions!D88</f>
        <v/>
      </c>
      <c r="E56" s="33">
        <f>E55*Assumptions!E87/60/Assumptions!E88</f>
        <v/>
      </c>
      <c r="F56" s="33">
        <f>F55*Assumptions!F87/60/Assumptions!F88</f>
        <v/>
      </c>
      <c r="G56" s="33">
        <f>G55*Assumptions!G87/60/Assumptions!G88</f>
        <v/>
      </c>
      <c r="H56" s="33">
        <f>H55*Assumptions!H87/60/Assumptions!H88</f>
        <v/>
      </c>
      <c r="I56" s="33">
        <f>I55*Assumptions!I87/60/Assumptions!I88</f>
        <v/>
      </c>
      <c r="J56" s="33">
        <f>J55*Assumptions!J87/60/Assumptions!J88</f>
        <v/>
      </c>
      <c r="K56" s="33">
        <f>K55*Assumptions!K87/60/Assumptions!K88</f>
        <v/>
      </c>
      <c r="L56" s="33">
        <f>L55*Assumptions!L87/60/Assumptions!L88</f>
        <v/>
      </c>
    </row>
  </sheetData>
  <mergeCells count="5">
    <mergeCell ref="C2:D2"/>
    <mergeCell ref="G2:H2"/>
    <mergeCell ref="E2:F2"/>
    <mergeCell ref="K2:L2"/>
    <mergeCell ref="I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Revenue: GMV built stream by stream, then our take</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FAN GMV: what fans pay athletes, net of VAT</t>
        </is>
      </c>
      <c r="B4" s="20" t="n"/>
      <c r="C4" s="20" t="n"/>
      <c r="D4" s="20" t="n"/>
      <c r="E4" s="20" t="n"/>
      <c r="F4" s="20" t="n"/>
      <c r="G4" s="20" t="n"/>
      <c r="H4" s="20" t="n"/>
      <c r="I4" s="20" t="n"/>
      <c r="J4" s="20" t="n"/>
      <c r="K4" s="20" t="n"/>
      <c r="L4" s="20" t="n"/>
    </row>
    <row r="5">
      <c r="A5" s="21" t="inlineStr">
        <is>
          <t>Niche subscription GMV</t>
        </is>
      </c>
      <c r="B5" s="22" t="inlineStr">
        <is>
          <t>avg fans x ARPU x 12, ex-VAT</t>
        </is>
      </c>
      <c r="C5" s="38">
        <f>Drivers!C20*Assumptions!C12*12/(1+Assumptions!C48)</f>
        <v/>
      </c>
      <c r="D5" s="38">
        <f>Drivers!D20*Assumptions!D12*12/(1+Assumptions!D48)</f>
        <v/>
      </c>
      <c r="E5" s="38">
        <f>Drivers!E20*Assumptions!E12*12/(1+Assumptions!E48)</f>
        <v/>
      </c>
      <c r="F5" s="38">
        <f>Drivers!F20*Assumptions!F12*12/(1+Assumptions!F48)</f>
        <v/>
      </c>
      <c r="G5" s="38">
        <f>Drivers!G20*Assumptions!G12*12/(1+Assumptions!G48)</f>
        <v/>
      </c>
      <c r="H5" s="38">
        <f>Drivers!H20*Assumptions!H12*12/(1+Assumptions!H48)</f>
        <v/>
      </c>
      <c r="I5" s="38">
        <f>Drivers!I20*Assumptions!I12*12/(1+Assumptions!I48)</f>
        <v/>
      </c>
      <c r="J5" s="38">
        <f>Drivers!J20*Assumptions!J12*12/(1+Assumptions!J48)</f>
        <v/>
      </c>
      <c r="K5" s="38">
        <f>Drivers!K20*Assumptions!K12*12/(1+Assumptions!K48)</f>
        <v/>
      </c>
      <c r="L5" s="38">
        <f>Drivers!L20*Assumptions!L12*12/(1+Assumptions!L48)</f>
        <v/>
      </c>
    </row>
    <row r="6">
      <c r="A6" s="21" t="inlineStr">
        <is>
          <t>Popular subscription GMV</t>
        </is>
      </c>
      <c r="B6" s="22" t="inlineStr">
        <is>
          <t>ex-VAT</t>
        </is>
      </c>
      <c r="C6" s="38">
        <f>Drivers!C34*Assumptions!C24*12/(1+Assumptions!C48)</f>
        <v/>
      </c>
      <c r="D6" s="38">
        <f>Drivers!D34*Assumptions!D24*12/(1+Assumptions!D48)</f>
        <v/>
      </c>
      <c r="E6" s="38">
        <f>Drivers!E34*Assumptions!E24*12/(1+Assumptions!E48)</f>
        <v/>
      </c>
      <c r="F6" s="38">
        <f>Drivers!F34*Assumptions!F24*12/(1+Assumptions!F48)</f>
        <v/>
      </c>
      <c r="G6" s="38">
        <f>Drivers!G34*Assumptions!G24*12/(1+Assumptions!G48)</f>
        <v/>
      </c>
      <c r="H6" s="38">
        <f>Drivers!H34*Assumptions!H24*12/(1+Assumptions!H48)</f>
        <v/>
      </c>
      <c r="I6" s="38">
        <f>Drivers!I34*Assumptions!I24*12/(1+Assumptions!I48)</f>
        <v/>
      </c>
      <c r="J6" s="38">
        <f>Drivers!J34*Assumptions!J24*12/(1+Assumptions!J48)</f>
        <v/>
      </c>
      <c r="K6" s="38">
        <f>Drivers!K34*Assumptions!K24*12/(1+Assumptions!K48)</f>
        <v/>
      </c>
      <c r="L6" s="38">
        <f>Drivers!L34*Assumptions!L24*12/(1+Assumptions!L48)</f>
        <v/>
      </c>
    </row>
    <row r="7">
      <c r="A7" s="47" t="inlineStr">
        <is>
          <t>Subscription GMV</t>
        </is>
      </c>
      <c r="B7" s="48" t="inlineStr"/>
      <c r="C7" s="51">
        <f>C5+C6</f>
        <v/>
      </c>
      <c r="D7" s="51">
        <f>D5+D6</f>
        <v/>
      </c>
      <c r="E7" s="51">
        <f>E5+E6</f>
        <v/>
      </c>
      <c r="F7" s="51">
        <f>F5+F6</f>
        <v/>
      </c>
      <c r="G7" s="51">
        <f>G5+G6</f>
        <v/>
      </c>
      <c r="H7" s="51">
        <f>H5+H6</f>
        <v/>
      </c>
      <c r="I7" s="51">
        <f>I5+I6</f>
        <v/>
      </c>
      <c r="J7" s="51">
        <f>J5+J6</f>
        <v/>
      </c>
      <c r="K7" s="51">
        <f>K5+K6</f>
        <v/>
      </c>
      <c r="L7" s="51">
        <f>L5+L6</f>
        <v/>
      </c>
    </row>
    <row r="8">
      <c r="A8" s="21" t="inlineStr">
        <is>
          <t>PPV and tips GMV</t>
        </is>
      </c>
      <c r="B8" s="22" t="inlineStr">
        <is>
          <t>x multiple</t>
        </is>
      </c>
      <c r="C8" s="38">
        <f>C7*Assumptions!C49</f>
        <v/>
      </c>
      <c r="D8" s="38">
        <f>D7*Assumptions!D49</f>
        <v/>
      </c>
      <c r="E8" s="38">
        <f>E7*Assumptions!E49</f>
        <v/>
      </c>
      <c r="F8" s="38">
        <f>F7*Assumptions!F49</f>
        <v/>
      </c>
      <c r="G8" s="38">
        <f>G7*Assumptions!G49</f>
        <v/>
      </c>
      <c r="H8" s="38">
        <f>H7*Assumptions!H49</f>
        <v/>
      </c>
      <c r="I8" s="38">
        <f>I7*Assumptions!I49</f>
        <v/>
      </c>
      <c r="J8" s="38">
        <f>J7*Assumptions!J49</f>
        <v/>
      </c>
      <c r="K8" s="38">
        <f>K7*Assumptions!K49</f>
        <v/>
      </c>
      <c r="L8" s="38">
        <f>L7*Assumptions!L49</f>
        <v/>
      </c>
    </row>
    <row r="9">
      <c r="A9" s="47" t="inlineStr">
        <is>
          <t>Total fan GMV</t>
        </is>
      </c>
      <c r="B9" s="48" t="inlineStr">
        <is>
          <t>ex-VAT, the take base</t>
        </is>
      </c>
      <c r="C9" s="51">
        <f>C7+C8</f>
        <v/>
      </c>
      <c r="D9" s="51">
        <f>D7+D8</f>
        <v/>
      </c>
      <c r="E9" s="51">
        <f>E7+E8</f>
        <v/>
      </c>
      <c r="F9" s="51">
        <f>F7+F8</f>
        <v/>
      </c>
      <c r="G9" s="51">
        <f>G7+G8</f>
        <v/>
      </c>
      <c r="H9" s="51">
        <f>H7+H8</f>
        <v/>
      </c>
      <c r="I9" s="51">
        <f>I7+I8</f>
        <v/>
      </c>
      <c r="J9" s="51">
        <f>J7+J8</f>
        <v/>
      </c>
      <c r="K9" s="51">
        <f>K7+K8</f>
        <v/>
      </c>
      <c r="L9" s="51">
        <f>L7+L8</f>
        <v/>
      </c>
    </row>
    <row r="10">
      <c r="A10" s="21" t="inlineStr">
        <is>
          <t>Fan GMV including VAT</t>
        </is>
      </c>
      <c r="B10" s="22" t="inlineStr">
        <is>
          <t>what cards are charged</t>
        </is>
      </c>
      <c r="C10" s="38">
        <f>C9*(1+Assumptions!C48)</f>
        <v/>
      </c>
      <c r="D10" s="38">
        <f>D9*(1+Assumptions!D48)</f>
        <v/>
      </c>
      <c r="E10" s="38">
        <f>E9*(1+Assumptions!E48)</f>
        <v/>
      </c>
      <c r="F10" s="38">
        <f>F9*(1+Assumptions!F48)</f>
        <v/>
      </c>
      <c r="G10" s="38">
        <f>G9*(1+Assumptions!G48)</f>
        <v/>
      </c>
      <c r="H10" s="38">
        <f>H9*(1+Assumptions!H48)</f>
        <v/>
      </c>
      <c r="I10" s="38">
        <f>I9*(1+Assumptions!I48)</f>
        <v/>
      </c>
      <c r="J10" s="38">
        <f>J9*(1+Assumptions!J48)</f>
        <v/>
      </c>
      <c r="K10" s="38">
        <f>K9*(1+Assumptions!K48)</f>
        <v/>
      </c>
      <c r="L10" s="38">
        <f>L9*(1+Assumptions!L48)</f>
        <v/>
      </c>
    </row>
    <row r="12">
      <c r="A12" s="19" t="inlineStr">
        <is>
          <t>SPONSORSHIP GMV: what sponsors pay athletes and clubs</t>
        </is>
      </c>
      <c r="B12" s="20" t="n"/>
      <c r="C12" s="20" t="n"/>
      <c r="D12" s="20" t="n"/>
      <c r="E12" s="20" t="n"/>
      <c r="F12" s="20" t="n"/>
      <c r="G12" s="20" t="n"/>
      <c r="H12" s="20" t="n"/>
      <c r="I12" s="20" t="n"/>
      <c r="J12" s="20" t="n"/>
      <c r="K12" s="20" t="n"/>
      <c r="L12" s="20" t="n"/>
    </row>
    <row r="13">
      <c r="A13" s="21" t="inlineStr">
        <is>
          <t>Niche sponsorship GMV</t>
        </is>
      </c>
      <c r="B13" s="22" t="inlineStr"/>
      <c r="C13" s="38">
        <f>Drivers!C44*Assumptions!C18</f>
        <v/>
      </c>
      <c r="D13" s="38">
        <f>Drivers!D44*Assumptions!D18</f>
        <v/>
      </c>
      <c r="E13" s="38">
        <f>Drivers!E44*Assumptions!E18</f>
        <v/>
      </c>
      <c r="F13" s="38">
        <f>Drivers!F44*Assumptions!F18</f>
        <v/>
      </c>
      <c r="G13" s="38">
        <f>Drivers!G44*Assumptions!G18</f>
        <v/>
      </c>
      <c r="H13" s="38">
        <f>Drivers!H44*Assumptions!H18</f>
        <v/>
      </c>
      <c r="I13" s="38">
        <f>Drivers!I44*Assumptions!I18</f>
        <v/>
      </c>
      <c r="J13" s="38">
        <f>Drivers!J44*Assumptions!J18</f>
        <v/>
      </c>
      <c r="K13" s="38">
        <f>Drivers!K44*Assumptions!K18</f>
        <v/>
      </c>
      <c r="L13" s="38">
        <f>Drivers!L44*Assumptions!L18</f>
        <v/>
      </c>
    </row>
    <row r="14">
      <c r="A14" s="21" t="inlineStr">
        <is>
          <t>Popular sponsorship GMV</t>
        </is>
      </c>
      <c r="B14" s="22" t="inlineStr"/>
      <c r="C14" s="38">
        <f>Drivers!C45*Assumptions!C30</f>
        <v/>
      </c>
      <c r="D14" s="38">
        <f>Drivers!D45*Assumptions!D30</f>
        <v/>
      </c>
      <c r="E14" s="38">
        <f>Drivers!E45*Assumptions!E30</f>
        <v/>
      </c>
      <c r="F14" s="38">
        <f>Drivers!F45*Assumptions!F30</f>
        <v/>
      </c>
      <c r="G14" s="38">
        <f>Drivers!G45*Assumptions!G30</f>
        <v/>
      </c>
      <c r="H14" s="38">
        <f>Drivers!H45*Assumptions!H30</f>
        <v/>
      </c>
      <c r="I14" s="38">
        <f>Drivers!I45*Assumptions!I30</f>
        <v/>
      </c>
      <c r="J14" s="38">
        <f>Drivers!J45*Assumptions!J30</f>
        <v/>
      </c>
      <c r="K14" s="38">
        <f>Drivers!K45*Assumptions!K30</f>
        <v/>
      </c>
      <c r="L14" s="38">
        <f>Drivers!L45*Assumptions!L30</f>
        <v/>
      </c>
    </row>
    <row r="15">
      <c r="A15" s="47" t="inlineStr">
        <is>
          <t>Total sponsorship GMV</t>
        </is>
      </c>
      <c r="B15" s="48" t="inlineStr"/>
      <c r="C15" s="51">
        <f>C13+C14</f>
        <v/>
      </c>
      <c r="D15" s="51">
        <f>D13+D14</f>
        <v/>
      </c>
      <c r="E15" s="51">
        <f>E13+E14</f>
        <v/>
      </c>
      <c r="F15" s="51">
        <f>F13+F14</f>
        <v/>
      </c>
      <c r="G15" s="51">
        <f>G13+G14</f>
        <v/>
      </c>
      <c r="H15" s="51">
        <f>H13+H14</f>
        <v/>
      </c>
      <c r="I15" s="51">
        <f>I13+I14</f>
        <v/>
      </c>
      <c r="J15" s="51">
        <f>J13+J14</f>
        <v/>
      </c>
      <c r="K15" s="51">
        <f>K13+K14</f>
        <v/>
      </c>
      <c r="L15" s="51">
        <f>L13+L14</f>
        <v/>
      </c>
    </row>
    <row r="16">
      <c r="A16" s="21" t="inlineStr">
        <is>
          <t>Agency share of subscribers</t>
        </is>
      </c>
      <c r="B16" s="22" t="inlineStr"/>
      <c r="C16" s="31">
        <f>MAX(0,(Assumptions!C36-Assumptions!C46)/(Assumptions!C47-Assumptions!C46))</f>
        <v/>
      </c>
      <c r="D16" s="31">
        <f>MAX(0,(Assumptions!D36-Assumptions!D46)/(Assumptions!D47-Assumptions!D46))</f>
        <v/>
      </c>
      <c r="E16" s="31">
        <f>MAX(0,(Assumptions!E36-Assumptions!E46)/(Assumptions!E47-Assumptions!E46))</f>
        <v/>
      </c>
      <c r="F16" s="31">
        <f>MAX(0,(Assumptions!F36-Assumptions!F46)/(Assumptions!F47-Assumptions!F46))</f>
        <v/>
      </c>
      <c r="G16" s="31">
        <f>MAX(0,(Assumptions!G36-Assumptions!G46)/(Assumptions!G47-Assumptions!G46))</f>
        <v/>
      </c>
      <c r="H16" s="31">
        <f>MAX(0,(Assumptions!H36-Assumptions!H46)/(Assumptions!H47-Assumptions!H46))</f>
        <v/>
      </c>
      <c r="I16" s="31">
        <f>MAX(0,(Assumptions!I36-Assumptions!I46)/(Assumptions!I47-Assumptions!I46))</f>
        <v/>
      </c>
      <c r="J16" s="31">
        <f>MAX(0,(Assumptions!J36-Assumptions!J46)/(Assumptions!J47-Assumptions!J46))</f>
        <v/>
      </c>
      <c r="K16" s="31">
        <f>MAX(0,(Assumptions!K36-Assumptions!K46)/(Assumptions!K47-Assumptions!K46))</f>
        <v/>
      </c>
      <c r="L16" s="31">
        <f>MAX(0,(Assumptions!L36-Assumptions!L46)/(Assumptions!L47-Assumptions!L46))</f>
        <v/>
      </c>
    </row>
    <row r="17">
      <c r="A17" s="21" t="inlineStr">
        <is>
          <t>Starter share of subscribers</t>
        </is>
      </c>
      <c r="B17" s="22" t="inlineStr"/>
      <c r="C17" s="31">
        <f>MAX(0,(Assumptions!C46-Assumptions!C36)/(Assumptions!C46-Assumptions!C45))</f>
        <v/>
      </c>
      <c r="D17" s="31">
        <f>MAX(0,(Assumptions!D46-Assumptions!D36)/(Assumptions!D46-Assumptions!D45))</f>
        <v/>
      </c>
      <c r="E17" s="31">
        <f>MAX(0,(Assumptions!E46-Assumptions!E36)/(Assumptions!E46-Assumptions!E45))</f>
        <v/>
      </c>
      <c r="F17" s="31">
        <f>MAX(0,(Assumptions!F46-Assumptions!F36)/(Assumptions!F46-Assumptions!F45))</f>
        <v/>
      </c>
      <c r="G17" s="31">
        <f>MAX(0,(Assumptions!G46-Assumptions!G36)/(Assumptions!G46-Assumptions!G45))</f>
        <v/>
      </c>
      <c r="H17" s="31">
        <f>MAX(0,(Assumptions!H46-Assumptions!H36)/(Assumptions!H46-Assumptions!H45))</f>
        <v/>
      </c>
      <c r="I17" s="31">
        <f>MAX(0,(Assumptions!I46-Assumptions!I36)/(Assumptions!I46-Assumptions!I45))</f>
        <v/>
      </c>
      <c r="J17" s="31">
        <f>MAX(0,(Assumptions!J46-Assumptions!J36)/(Assumptions!J46-Assumptions!J45))</f>
        <v/>
      </c>
      <c r="K17" s="31">
        <f>MAX(0,(Assumptions!K46-Assumptions!K36)/(Assumptions!K46-Assumptions!K45))</f>
        <v/>
      </c>
      <c r="L17" s="31">
        <f>MAX(0,(Assumptions!L46-Assumptions!L36)/(Assumptions!L46-Assumptions!L45))</f>
        <v/>
      </c>
    </row>
    <row r="18">
      <c r="A18" s="21" t="inlineStr">
        <is>
          <t>Subscriber share of deal volume</t>
        </is>
      </c>
      <c r="B18" s="22" t="inlineStr"/>
      <c r="C18" s="31">
        <f>MIN(1,Assumptions!C35*Assumptions!C44)</f>
        <v/>
      </c>
      <c r="D18" s="31">
        <f>MIN(1,Assumptions!D35*Assumptions!D44)</f>
        <v/>
      </c>
      <c r="E18" s="31">
        <f>MIN(1,Assumptions!E35*Assumptions!E44)</f>
        <v/>
      </c>
      <c r="F18" s="31">
        <f>MIN(1,Assumptions!F35*Assumptions!F44)</f>
        <v/>
      </c>
      <c r="G18" s="31">
        <f>MIN(1,Assumptions!G35*Assumptions!G44)</f>
        <v/>
      </c>
      <c r="H18" s="31">
        <f>MIN(1,Assumptions!H35*Assumptions!H44)</f>
        <v/>
      </c>
      <c r="I18" s="31">
        <f>MIN(1,Assumptions!I35*Assumptions!I44)</f>
        <v/>
      </c>
      <c r="J18" s="31">
        <f>MIN(1,Assumptions!J35*Assumptions!J44)</f>
        <v/>
      </c>
      <c r="K18" s="31">
        <f>MIN(1,Assumptions!K35*Assumptions!K44)</f>
        <v/>
      </c>
      <c r="L18" s="31">
        <f>MIN(1,Assumptions!L35*Assumptions!L44)</f>
        <v/>
      </c>
    </row>
    <row r="19">
      <c r="A19" s="47" t="inlineStr">
        <is>
          <t>Effective sponsorship take</t>
        </is>
      </c>
      <c r="B19" s="48" t="inlineStr"/>
      <c r="C19" s="52">
        <f>(1-C18)*Assumptions!C41+C18*(C17*Assumptions!C41+(1-C17-C16)*Assumptions!C42+C16*Assumptions!C43)</f>
        <v/>
      </c>
      <c r="D19" s="52">
        <f>(1-D18)*Assumptions!D41+D18*(D17*Assumptions!D41+(1-D17-D16)*Assumptions!D42+D16*Assumptions!D43)</f>
        <v/>
      </c>
      <c r="E19" s="52">
        <f>(1-E18)*Assumptions!E41+E18*(E17*Assumptions!E41+(1-E17-E16)*Assumptions!E42+E16*Assumptions!E43)</f>
        <v/>
      </c>
      <c r="F19" s="52">
        <f>(1-F18)*Assumptions!F41+F18*(F17*Assumptions!F41+(1-F17-F16)*Assumptions!F42+F16*Assumptions!F43)</f>
        <v/>
      </c>
      <c r="G19" s="52">
        <f>(1-G18)*Assumptions!G41+G18*(G17*Assumptions!G41+(1-G17-G16)*Assumptions!G42+G16*Assumptions!G43)</f>
        <v/>
      </c>
      <c r="H19" s="52">
        <f>(1-H18)*Assumptions!H41+H18*(H17*Assumptions!H41+(1-H17-H16)*Assumptions!H42+H16*Assumptions!H43)</f>
        <v/>
      </c>
      <c r="I19" s="52">
        <f>(1-I18)*Assumptions!I41+I18*(I17*Assumptions!I41+(1-I17-I16)*Assumptions!I42+I16*Assumptions!I43)</f>
        <v/>
      </c>
      <c r="J19" s="52">
        <f>(1-J18)*Assumptions!J41+J18*(J17*Assumptions!J41+(1-J17-J16)*Assumptions!J42+J16*Assumptions!J43)</f>
        <v/>
      </c>
      <c r="K19" s="52">
        <f>(1-K18)*Assumptions!K41+K18*(K17*Assumptions!K41+(1-K17-K16)*Assumptions!K42+K16*Assumptions!K43)</f>
        <v/>
      </c>
      <c r="L19" s="52">
        <f>(1-L18)*Assumptions!L41+L18*(L17*Assumptions!L41+(1-L17-L16)*Assumptions!L42+L16*Assumptions!L43)</f>
        <v/>
      </c>
    </row>
    <row r="20">
      <c r="A20" s="53" t="inlineStr">
        <is>
          <t>TOTAL GMV</t>
        </is>
      </c>
      <c r="B20" s="48" t="inlineStr"/>
      <c r="C20" s="54">
        <f>C9+C15</f>
        <v/>
      </c>
      <c r="D20" s="54">
        <f>D9+D15</f>
        <v/>
      </c>
      <c r="E20" s="54">
        <f>E9+E15</f>
        <v/>
      </c>
      <c r="F20" s="54">
        <f>F9+F15</f>
        <v/>
      </c>
      <c r="G20" s="54">
        <f>G9+G15</f>
        <v/>
      </c>
      <c r="H20" s="54">
        <f>H9+H15</f>
        <v/>
      </c>
      <c r="I20" s="54">
        <f>I9+I15</f>
        <v/>
      </c>
      <c r="J20" s="54">
        <f>J9+J15</f>
        <v/>
      </c>
      <c r="K20" s="54">
        <f>K9+K15</f>
        <v/>
      </c>
      <c r="L20" s="54">
        <f>L9+L15</f>
        <v/>
      </c>
    </row>
    <row r="22">
      <c r="A22" s="19" t="inlineStr">
        <is>
          <t>NET REVENUE: our share</t>
        </is>
      </c>
      <c r="B22" s="20" t="n"/>
      <c r="C22" s="20" t="n"/>
      <c r="D22" s="20" t="n"/>
      <c r="E22" s="20" t="n"/>
      <c r="F22" s="20" t="n"/>
      <c r="G22" s="20" t="n"/>
      <c r="H22" s="20" t="n"/>
      <c r="I22" s="20" t="n"/>
      <c r="J22" s="20" t="n"/>
      <c r="K22" s="20" t="n"/>
      <c r="L22" s="20" t="n"/>
    </row>
    <row r="23">
      <c r="A23" s="21" t="inlineStr">
        <is>
          <t>Fan take</t>
        </is>
      </c>
      <c r="B23" s="22" t="inlineStr">
        <is>
          <t>fan GMV x take rate</t>
        </is>
      </c>
      <c r="C23" s="38">
        <f>C9*Assumptions!C40</f>
        <v/>
      </c>
      <c r="D23" s="38">
        <f>D9*Assumptions!D40</f>
        <v/>
      </c>
      <c r="E23" s="38">
        <f>E9*Assumptions!E40</f>
        <v/>
      </c>
      <c r="F23" s="38">
        <f>F9*Assumptions!F40</f>
        <v/>
      </c>
      <c r="G23" s="38">
        <f>G9*Assumptions!G40</f>
        <v/>
      </c>
      <c r="H23" s="38">
        <f>H9*Assumptions!H40</f>
        <v/>
      </c>
      <c r="I23" s="38">
        <f>I9*Assumptions!I40</f>
        <v/>
      </c>
      <c r="J23" s="38">
        <f>J9*Assumptions!J40</f>
        <v/>
      </c>
      <c r="K23" s="38">
        <f>K9*Assumptions!K40</f>
        <v/>
      </c>
      <c r="L23" s="38">
        <f>L9*Assumptions!L40</f>
        <v/>
      </c>
    </row>
    <row r="24">
      <c r="A24" s="21" t="inlineStr">
        <is>
          <t>Sponsorship take</t>
        </is>
      </c>
      <c r="B24" s="22" t="inlineStr"/>
      <c r="C24" s="55">
        <f>C15*C19</f>
        <v/>
      </c>
      <c r="D24" s="55">
        <f>D15*D19</f>
        <v/>
      </c>
      <c r="E24" s="55">
        <f>E15*E19</f>
        <v/>
      </c>
      <c r="F24" s="55">
        <f>F15*F19</f>
        <v/>
      </c>
      <c r="G24" s="55">
        <f>G15*G19</f>
        <v/>
      </c>
      <c r="H24" s="55">
        <f>H15*H19</f>
        <v/>
      </c>
      <c r="I24" s="55">
        <f>I15*I19</f>
        <v/>
      </c>
      <c r="J24" s="55">
        <f>J15*J19</f>
        <v/>
      </c>
      <c r="K24" s="55">
        <f>K15*K19</f>
        <v/>
      </c>
      <c r="L24" s="55">
        <f>L15*L19</f>
        <v/>
      </c>
    </row>
    <row r="25">
      <c r="A25" s="21" t="inlineStr">
        <is>
          <t>Sponsor SaaS</t>
        </is>
      </c>
      <c r="B25" s="22" t="inlineStr">
        <is>
          <t>paying sponsors x ARPU x 12</t>
        </is>
      </c>
      <c r="C25" s="38">
        <f>Drivers!C48*Assumptions!C36*12</f>
        <v/>
      </c>
      <c r="D25" s="38">
        <f>Drivers!D48*Assumptions!D36*12</f>
        <v/>
      </c>
      <c r="E25" s="38">
        <f>Drivers!E48*Assumptions!E36*12</f>
        <v/>
      </c>
      <c r="F25" s="38">
        <f>Drivers!F48*Assumptions!F36*12</f>
        <v/>
      </c>
      <c r="G25" s="38">
        <f>Drivers!G48*Assumptions!G36*12</f>
        <v/>
      </c>
      <c r="H25" s="38">
        <f>Drivers!H48*Assumptions!H36*12</f>
        <v/>
      </c>
      <c r="I25" s="38">
        <f>Drivers!I48*Assumptions!I36*12</f>
        <v/>
      </c>
      <c r="J25" s="38">
        <f>Drivers!J48*Assumptions!J36*12</f>
        <v/>
      </c>
      <c r="K25" s="38">
        <f>Drivers!K48*Assumptions!K36*12</f>
        <v/>
      </c>
      <c r="L25" s="38">
        <f>Drivers!L48*Assumptions!L36*12</f>
        <v/>
      </c>
    </row>
    <row r="26">
      <c r="A26" s="53" t="inlineStr">
        <is>
          <t>NET REVENUE</t>
        </is>
      </c>
      <c r="B26" s="48" t="inlineStr"/>
      <c r="C26" s="54">
        <f>SUM(C23:C25)</f>
        <v/>
      </c>
      <c r="D26" s="54">
        <f>SUM(D23:D25)</f>
        <v/>
      </c>
      <c r="E26" s="54">
        <f>SUM(E23:E25)</f>
        <v/>
      </c>
      <c r="F26" s="54">
        <f>SUM(F23:F25)</f>
        <v/>
      </c>
      <c r="G26" s="54">
        <f>SUM(G23:G25)</f>
        <v/>
      </c>
      <c r="H26" s="54">
        <f>SUM(H23:H25)</f>
        <v/>
      </c>
      <c r="I26" s="54">
        <f>SUM(I23:I25)</f>
        <v/>
      </c>
      <c r="J26" s="54">
        <f>SUM(J23:J25)</f>
        <v/>
      </c>
      <c r="K26" s="54">
        <f>SUM(K23:K25)</f>
        <v/>
      </c>
      <c r="L26" s="54">
        <f>SUM(L23:L25)</f>
        <v/>
      </c>
    </row>
    <row r="27">
      <c r="A27" s="21" t="inlineStr">
        <is>
          <t>Growth</t>
        </is>
      </c>
      <c r="B27" s="22" t="inlineStr">
        <is>
          <t>% YoY</t>
        </is>
      </c>
      <c r="C27" s="56">
        <f>IF(1=1,"",C26/C26-1)</f>
        <v/>
      </c>
      <c r="D27" s="56">
        <f>IF(2=1,"",D26/C26-1)</f>
        <v/>
      </c>
      <c r="E27" s="56">
        <f>IF(3=1,"",E26/D26-1)</f>
        <v/>
      </c>
      <c r="F27" s="56">
        <f>IF(4=1,"",F26/E26-1)</f>
        <v/>
      </c>
      <c r="G27" s="56">
        <f>IF(5=1,"",G26/F26-1)</f>
        <v/>
      </c>
      <c r="H27" s="56">
        <f>IF(6=1,"",H26/G26-1)</f>
        <v/>
      </c>
      <c r="I27" s="56">
        <f>IF(7=1,"",I26/H26-1)</f>
        <v/>
      </c>
      <c r="J27" s="56">
        <f>IF(8=1,"",J26/I26-1)</f>
        <v/>
      </c>
      <c r="K27" s="56">
        <f>IF(9=1,"",K26/J26-1)</f>
        <v/>
      </c>
      <c r="L27" s="56">
        <f>IF(10=1,"",L26/K26-1)</f>
        <v/>
      </c>
    </row>
    <row r="28">
      <c r="A28" s="21" t="inlineStr">
        <is>
          <t>Take rate on GMV</t>
        </is>
      </c>
      <c r="B28" s="22" t="inlineStr">
        <is>
          <t>blended</t>
        </is>
      </c>
      <c r="C28" s="56">
        <f>C26/C20</f>
        <v/>
      </c>
      <c r="D28" s="56">
        <f>D26/D20</f>
        <v/>
      </c>
      <c r="E28" s="56">
        <f>E26/E20</f>
        <v/>
      </c>
      <c r="F28" s="56">
        <f>F26/F20</f>
        <v/>
      </c>
      <c r="G28" s="56">
        <f>G26/G20</f>
        <v/>
      </c>
      <c r="H28" s="56">
        <f>H26/H20</f>
        <v/>
      </c>
      <c r="I28" s="56">
        <f>I26/I20</f>
        <v/>
      </c>
      <c r="J28" s="56">
        <f>J26/J20</f>
        <v/>
      </c>
      <c r="K28" s="56">
        <f>K26/K20</f>
        <v/>
      </c>
      <c r="L28" s="56">
        <f>L26/L20</f>
        <v/>
      </c>
    </row>
  </sheetData>
  <mergeCells count="5">
    <mergeCell ref="C2:D2"/>
    <mergeCell ref="G2:H2"/>
    <mergeCell ref="E2:F2"/>
    <mergeCell ref="K2:L2"/>
    <mergeCell ref="I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Costs: every line built from its driver</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COST OF SALES</t>
        </is>
      </c>
      <c r="B4" s="20" t="n"/>
      <c r="C4" s="20" t="n"/>
      <c r="D4" s="20" t="n"/>
      <c r="E4" s="20" t="n"/>
      <c r="F4" s="20" t="n"/>
      <c r="G4" s="20" t="n"/>
      <c r="H4" s="20" t="n"/>
      <c r="I4" s="20" t="n"/>
      <c r="J4" s="20" t="n"/>
      <c r="K4" s="20" t="n"/>
      <c r="L4" s="20" t="n"/>
    </row>
    <row r="5">
      <c r="A5" s="21" t="inlineStr">
        <is>
          <t>Fan transactions</t>
        </is>
      </c>
      <c r="B5" s="22" t="inlineStr">
        <is>
          <t>fan GMV incl VAT / avg ticket</t>
        </is>
      </c>
      <c r="C5" s="25">
        <f>Revenue!C10/Assumptions!C54</f>
        <v/>
      </c>
      <c r="D5" s="25">
        <f>Revenue!D10/Assumptions!D54</f>
        <v/>
      </c>
      <c r="E5" s="25">
        <f>Revenue!E10/Assumptions!E54</f>
        <v/>
      </c>
      <c r="F5" s="25">
        <f>Revenue!F10/Assumptions!F54</f>
        <v/>
      </c>
      <c r="G5" s="25">
        <f>Revenue!G10/Assumptions!G54</f>
        <v/>
      </c>
      <c r="H5" s="25">
        <f>Revenue!H10/Assumptions!H54</f>
        <v/>
      </c>
      <c r="I5" s="25">
        <f>Revenue!I10/Assumptions!I54</f>
        <v/>
      </c>
      <c r="J5" s="25">
        <f>Revenue!J10/Assumptions!J54</f>
        <v/>
      </c>
      <c r="K5" s="25">
        <f>Revenue!K10/Assumptions!K54</f>
        <v/>
      </c>
      <c r="L5" s="25">
        <f>Revenue!L10/Assumptions!L54</f>
        <v/>
      </c>
    </row>
    <row r="6">
      <c r="A6" s="21" t="inlineStr">
        <is>
          <t>Deal transactions</t>
        </is>
      </c>
      <c r="B6" s="22" t="inlineStr">
        <is>
          <t>count</t>
        </is>
      </c>
      <c r="C6" s="25">
        <f>Revenue!C15/Assumptions!C55</f>
        <v/>
      </c>
      <c r="D6" s="25">
        <f>Revenue!D15/Assumptions!D55</f>
        <v/>
      </c>
      <c r="E6" s="25">
        <f>Revenue!E15/Assumptions!E55</f>
        <v/>
      </c>
      <c r="F6" s="25">
        <f>Revenue!F15/Assumptions!F55</f>
        <v/>
      </c>
      <c r="G6" s="25">
        <f>Revenue!G15/Assumptions!G55</f>
        <v/>
      </c>
      <c r="H6" s="25">
        <f>Revenue!H15/Assumptions!H55</f>
        <v/>
      </c>
      <c r="I6" s="25">
        <f>Revenue!I15/Assumptions!I55</f>
        <v/>
      </c>
      <c r="J6" s="25">
        <f>Revenue!J15/Assumptions!J55</f>
        <v/>
      </c>
      <c r="K6" s="25">
        <f>Revenue!K15/Assumptions!K55</f>
        <v/>
      </c>
      <c r="L6" s="25">
        <f>Revenue!L15/Assumptions!L55</f>
        <v/>
      </c>
    </row>
    <row r="7">
      <c r="A7" s="21" t="inlineStr">
        <is>
          <t>Payment processing</t>
        </is>
      </c>
      <c r="B7" s="22" t="inlineStr">
        <is>
          <t>% of processed + fixed</t>
        </is>
      </c>
      <c r="C7" s="38">
        <f>(Revenue!C10+Revenue!C15)*Assumptions!C50+(C5+C6)*Assumptions!C51</f>
        <v/>
      </c>
      <c r="D7" s="38">
        <f>(Revenue!D10+Revenue!D15)*Assumptions!D50+(D5+D6)*Assumptions!D51</f>
        <v/>
      </c>
      <c r="E7" s="38">
        <f>(Revenue!E10+Revenue!E15)*Assumptions!E50+(E5+E6)*Assumptions!E51</f>
        <v/>
      </c>
      <c r="F7" s="38">
        <f>(Revenue!F10+Revenue!F15)*Assumptions!F50+(F5+F6)*Assumptions!F51</f>
        <v/>
      </c>
      <c r="G7" s="38">
        <f>(Revenue!G10+Revenue!G15)*Assumptions!G50+(G5+G6)*Assumptions!G51</f>
        <v/>
      </c>
      <c r="H7" s="38">
        <f>(Revenue!H10+Revenue!H15)*Assumptions!H50+(H5+H6)*Assumptions!H51</f>
        <v/>
      </c>
      <c r="I7" s="38">
        <f>(Revenue!I10+Revenue!I15)*Assumptions!I50+(I5+I6)*Assumptions!I51</f>
        <v/>
      </c>
      <c r="J7" s="38">
        <f>(Revenue!J10+Revenue!J15)*Assumptions!J50+(J5+J6)*Assumptions!J51</f>
        <v/>
      </c>
      <c r="K7" s="38">
        <f>(Revenue!K10+Revenue!K15)*Assumptions!K50+(K5+K6)*Assumptions!K51</f>
        <v/>
      </c>
      <c r="L7" s="38">
        <f>(Revenue!L10+Revenue!L15)*Assumptions!L50+(L5+L6)*Assumptions!L51</f>
        <v/>
      </c>
    </row>
    <row r="8">
      <c r="A8" s="21" t="inlineStr">
        <is>
          <t>Payouts to athletes</t>
        </is>
      </c>
      <c r="B8" s="22" t="inlineStr">
        <is>
          <t>% + fixed</t>
        </is>
      </c>
      <c r="C8" s="38">
        <f>(Revenue!C10+Revenue!C15)*Assumptions!C52+(C5/30+C6)*Assumptions!C53</f>
        <v/>
      </c>
      <c r="D8" s="38">
        <f>(Revenue!D10+Revenue!D15)*Assumptions!D52+(D5/30+D6)*Assumptions!D53</f>
        <v/>
      </c>
      <c r="E8" s="38">
        <f>(Revenue!E10+Revenue!E15)*Assumptions!E52+(E5/30+E6)*Assumptions!E53</f>
        <v/>
      </c>
      <c r="F8" s="38">
        <f>(Revenue!F10+Revenue!F15)*Assumptions!F52+(F5/30+F6)*Assumptions!F53</f>
        <v/>
      </c>
      <c r="G8" s="38">
        <f>(Revenue!G10+Revenue!G15)*Assumptions!G52+(G5/30+G6)*Assumptions!G53</f>
        <v/>
      </c>
      <c r="H8" s="38">
        <f>(Revenue!H10+Revenue!H15)*Assumptions!H52+(H5/30+H6)*Assumptions!H53</f>
        <v/>
      </c>
      <c r="I8" s="38">
        <f>(Revenue!I10+Revenue!I15)*Assumptions!I52+(I5/30+I6)*Assumptions!I53</f>
        <v/>
      </c>
      <c r="J8" s="38">
        <f>(Revenue!J10+Revenue!J15)*Assumptions!J52+(J5/30+J6)*Assumptions!J53</f>
        <v/>
      </c>
      <c r="K8" s="38">
        <f>(Revenue!K10+Revenue!K15)*Assumptions!K52+(K5/30+K6)*Assumptions!K53</f>
        <v/>
      </c>
      <c r="L8" s="38">
        <f>(Revenue!L10+Revenue!L15)*Assumptions!L52+(L5/30+L6)*Assumptions!L53</f>
        <v/>
      </c>
    </row>
    <row r="9">
      <c r="A9" s="21" t="inlineStr">
        <is>
          <t>Media egress GB</t>
        </is>
      </c>
      <c r="B9" s="22" t="inlineStr">
        <is>
          <t>GB/yr</t>
        </is>
      </c>
      <c r="C9" s="25">
        <f>Drivers!C39*Assumptions!C59*12</f>
        <v/>
      </c>
      <c r="D9" s="25">
        <f>Drivers!D39*Assumptions!D59*12</f>
        <v/>
      </c>
      <c r="E9" s="25">
        <f>Drivers!E39*Assumptions!E59*12</f>
        <v/>
      </c>
      <c r="F9" s="25">
        <f>Drivers!F39*Assumptions!F59*12</f>
        <v/>
      </c>
      <c r="G9" s="25">
        <f>Drivers!G39*Assumptions!G59*12</f>
        <v/>
      </c>
      <c r="H9" s="25">
        <f>Drivers!H39*Assumptions!H59*12</f>
        <v/>
      </c>
      <c r="I9" s="25">
        <f>Drivers!I39*Assumptions!I59*12</f>
        <v/>
      </c>
      <c r="J9" s="25">
        <f>Drivers!J39*Assumptions!J59*12</f>
        <v/>
      </c>
      <c r="K9" s="25">
        <f>Drivers!K39*Assumptions!K59*12</f>
        <v/>
      </c>
      <c r="L9" s="25">
        <f>Drivers!L39*Assumptions!L59*12</f>
        <v/>
      </c>
    </row>
    <row r="10">
      <c r="A10" s="21" t="inlineStr">
        <is>
          <t>Infrastructure (AWS + CDN)</t>
        </is>
      </c>
      <c r="B10" s="22" t="inlineStr">
        <is>
          <t>base + egress</t>
        </is>
      </c>
      <c r="C10" s="38">
        <f>Assumptions!C58*12+C9*Assumptions!C60</f>
        <v/>
      </c>
      <c r="D10" s="38">
        <f>Assumptions!D58*12+D9*Assumptions!D60</f>
        <v/>
      </c>
      <c r="E10" s="38">
        <f>Assumptions!E58*12+E9*Assumptions!E60</f>
        <v/>
      </c>
      <c r="F10" s="38">
        <f>Assumptions!F58*12+F9*Assumptions!F60</f>
        <v/>
      </c>
      <c r="G10" s="38">
        <f>Assumptions!G58*12+G9*Assumptions!G60</f>
        <v/>
      </c>
      <c r="H10" s="38">
        <f>Assumptions!H58*12+H9*Assumptions!H60</f>
        <v/>
      </c>
      <c r="I10" s="38">
        <f>Assumptions!I58*12+I9*Assumptions!I60</f>
        <v/>
      </c>
      <c r="J10" s="38">
        <f>Assumptions!J58*12+J9*Assumptions!J60</f>
        <v/>
      </c>
      <c r="K10" s="38">
        <f>Assumptions!K58*12+K9*Assumptions!K60</f>
        <v/>
      </c>
      <c r="L10" s="38">
        <f>Assumptions!L58*12+L9*Assumptions!L60</f>
        <v/>
      </c>
    </row>
    <row r="11">
      <c r="A11" s="21" t="inlineStr">
        <is>
          <t xml:space="preserve">  memo: same egress at CloudFront list</t>
        </is>
      </c>
      <c r="B11" s="22" t="inlineStr">
        <is>
          <t>the trap</t>
        </is>
      </c>
      <c r="C11" s="38">
        <f>Assumptions!C58*12+C9*Assumptions!C61</f>
        <v/>
      </c>
      <c r="D11" s="38">
        <f>Assumptions!D58*12+D9*Assumptions!D61</f>
        <v/>
      </c>
      <c r="E11" s="38">
        <f>Assumptions!E58*12+E9*Assumptions!E61</f>
        <v/>
      </c>
      <c r="F11" s="38">
        <f>Assumptions!F58*12+F9*Assumptions!F61</f>
        <v/>
      </c>
      <c r="G11" s="38">
        <f>Assumptions!G58*12+G9*Assumptions!G61</f>
        <v/>
      </c>
      <c r="H11" s="38">
        <f>Assumptions!H58*12+H9*Assumptions!H61</f>
        <v/>
      </c>
      <c r="I11" s="38">
        <f>Assumptions!I58*12+I9*Assumptions!I61</f>
        <v/>
      </c>
      <c r="J11" s="38">
        <f>Assumptions!J58*12+J9*Assumptions!J61</f>
        <v/>
      </c>
      <c r="K11" s="38">
        <f>Assumptions!K58*12+K9*Assumptions!K61</f>
        <v/>
      </c>
      <c r="L11" s="38">
        <f>Assumptions!L58*12+L9*Assumptions!L61</f>
        <v/>
      </c>
    </row>
    <row r="12">
      <c r="A12" s="21" t="inlineStr">
        <is>
          <t>Moderation</t>
        </is>
      </c>
      <c r="B12" s="22" t="inlineStr">
        <is>
          <t>items x rate</t>
        </is>
      </c>
      <c r="C12" s="38">
        <f>Drivers!C5*Assumptions!C63*12/1000*Assumptions!C62</f>
        <v/>
      </c>
      <c r="D12" s="38">
        <f>Drivers!D5*Assumptions!D63*12/1000*Assumptions!D62</f>
        <v/>
      </c>
      <c r="E12" s="38">
        <f>Drivers!E5*Assumptions!E63*12/1000*Assumptions!E62</f>
        <v/>
      </c>
      <c r="F12" s="38">
        <f>Drivers!F5*Assumptions!F63*12/1000*Assumptions!F62</f>
        <v/>
      </c>
      <c r="G12" s="38">
        <f>Drivers!G5*Assumptions!G63*12/1000*Assumptions!G62</f>
        <v/>
      </c>
      <c r="H12" s="38">
        <f>Drivers!H5*Assumptions!H63*12/1000*Assumptions!H62</f>
        <v/>
      </c>
      <c r="I12" s="38">
        <f>Drivers!I5*Assumptions!I63*12/1000*Assumptions!I62</f>
        <v/>
      </c>
      <c r="J12" s="38">
        <f>Drivers!J5*Assumptions!J63*12/1000*Assumptions!J62</f>
        <v/>
      </c>
      <c r="K12" s="38">
        <f>Drivers!K5*Assumptions!K63*12/1000*Assumptions!K62</f>
        <v/>
      </c>
      <c r="L12" s="38">
        <f>Drivers!L5*Assumptions!L63*12/1000*Assumptions!L62</f>
        <v/>
      </c>
    </row>
    <row r="13">
      <c r="A13" s="21" t="inlineStr">
        <is>
          <t>Athlete verification</t>
        </is>
      </c>
      <c r="B13" s="22" t="inlineStr">
        <is>
          <t>reviews x minutes x hourly</t>
        </is>
      </c>
      <c r="C13" s="38">
        <f>Drivers!C55*Assumptions!C87/60*(Assumptions!C67/Assumptions!C88)</f>
        <v/>
      </c>
      <c r="D13" s="38">
        <f>Drivers!D55*Assumptions!D87/60*(Assumptions!D67/Assumptions!D88)</f>
        <v/>
      </c>
      <c r="E13" s="38">
        <f>Drivers!E55*Assumptions!E87/60*(Assumptions!E67/Assumptions!E88)</f>
        <v/>
      </c>
      <c r="F13" s="38">
        <f>Drivers!F55*Assumptions!F87/60*(Assumptions!F67/Assumptions!F88)</f>
        <v/>
      </c>
      <c r="G13" s="38">
        <f>Drivers!G55*Assumptions!G87/60*(Assumptions!G67/Assumptions!G88)</f>
        <v/>
      </c>
      <c r="H13" s="38">
        <f>Drivers!H55*Assumptions!H87/60*(Assumptions!H67/Assumptions!H88)</f>
        <v/>
      </c>
      <c r="I13" s="38">
        <f>Drivers!I55*Assumptions!I87/60*(Assumptions!I67/Assumptions!I88)</f>
        <v/>
      </c>
      <c r="J13" s="38">
        <f>Drivers!J55*Assumptions!J87/60*(Assumptions!J67/Assumptions!J88)</f>
        <v/>
      </c>
      <c r="K13" s="38">
        <f>Drivers!K55*Assumptions!K87/60*(Assumptions!K67/Assumptions!K88)</f>
        <v/>
      </c>
      <c r="L13" s="38">
        <f>Drivers!L55*Assumptions!L87/60*(Assumptions!L67/Assumptions!L88)</f>
        <v/>
      </c>
    </row>
    <row r="14">
      <c r="A14" s="53" t="inlineStr">
        <is>
          <t>TOTAL COST OF SALES</t>
        </is>
      </c>
      <c r="B14" s="48" t="inlineStr"/>
      <c r="C14" s="54">
        <f>C7+C8+C10+C12+C13</f>
        <v/>
      </c>
      <c r="D14" s="54">
        <f>D7+D8+D10+D12+D13</f>
        <v/>
      </c>
      <c r="E14" s="54">
        <f>E7+E8+E10+E12+E13</f>
        <v/>
      </c>
      <c r="F14" s="54">
        <f>F7+F8+F10+F12+F13</f>
        <v/>
      </c>
      <c r="G14" s="54">
        <f>G7+G8+G10+G12+G13</f>
        <v/>
      </c>
      <c r="H14" s="54">
        <f>H7+H8+H10+H12+H13</f>
        <v/>
      </c>
      <c r="I14" s="54">
        <f>I7+I8+I10+I12+I13</f>
        <v/>
      </c>
      <c r="J14" s="54">
        <f>J7+J8+J10+J12+J13</f>
        <v/>
      </c>
      <c r="K14" s="54">
        <f>K7+K8+K10+K12+K13</f>
        <v/>
      </c>
      <c r="L14" s="54">
        <f>L7+L8+L10+L12+L13</f>
        <v/>
      </c>
    </row>
    <row r="16">
      <c r="A16" s="19" t="inlineStr">
        <is>
          <t>OPERATING COSTS</t>
        </is>
      </c>
      <c r="B16" s="20" t="n"/>
      <c r="C16" s="20" t="n"/>
      <c r="D16" s="20" t="n"/>
      <c r="E16" s="20" t="n"/>
      <c r="F16" s="20" t="n"/>
      <c r="G16" s="20" t="n"/>
      <c r="H16" s="20" t="n"/>
      <c r="I16" s="20" t="n"/>
      <c r="J16" s="20" t="n"/>
      <c r="K16" s="20" t="n"/>
      <c r="L16" s="20" t="n"/>
    </row>
    <row r="17">
      <c r="A17" s="21" t="inlineStr">
        <is>
          <t>People</t>
        </is>
      </c>
      <c r="B17" s="22" t="inlineStr">
        <is>
          <t>FTE x loaded salary</t>
        </is>
      </c>
      <c r="C17" s="38">
        <f>Assumptions!C66*Assumptions!C67</f>
        <v/>
      </c>
      <c r="D17" s="38">
        <f>Assumptions!D66*Assumptions!D67</f>
        <v/>
      </c>
      <c r="E17" s="38">
        <f>Assumptions!E66*Assumptions!E67</f>
        <v/>
      </c>
      <c r="F17" s="38">
        <f>Assumptions!F66*Assumptions!F67</f>
        <v/>
      </c>
      <c r="G17" s="38">
        <f>Assumptions!G66*Assumptions!G67</f>
        <v/>
      </c>
      <c r="H17" s="38">
        <f>Assumptions!H66*Assumptions!H67</f>
        <v/>
      </c>
      <c r="I17" s="38">
        <f>Assumptions!I66*Assumptions!I67</f>
        <v/>
      </c>
      <c r="J17" s="38">
        <f>Assumptions!J66*Assumptions!J67</f>
        <v/>
      </c>
      <c r="K17" s="38">
        <f>Assumptions!K66*Assumptions!K67</f>
        <v/>
      </c>
      <c r="L17" s="38">
        <f>Assumptions!L66*Assumptions!L67</f>
        <v/>
      </c>
    </row>
    <row r="18">
      <c r="A18" s="21" t="inlineStr">
        <is>
          <t>Athlete acquisition: niche</t>
        </is>
      </c>
      <c r="B18" s="22" t="inlineStr">
        <is>
          <t>gross adds x CAC</t>
        </is>
      </c>
      <c r="C18" s="38">
        <f>Drivers!C11*Assumptions!C19</f>
        <v/>
      </c>
      <c r="D18" s="38">
        <f>Drivers!D11*Assumptions!D19</f>
        <v/>
      </c>
      <c r="E18" s="38">
        <f>Drivers!E11*Assumptions!E19</f>
        <v/>
      </c>
      <c r="F18" s="38">
        <f>Drivers!F11*Assumptions!F19</f>
        <v/>
      </c>
      <c r="G18" s="38">
        <f>Drivers!G11*Assumptions!G19</f>
        <v/>
      </c>
      <c r="H18" s="38">
        <f>Drivers!H11*Assumptions!H19</f>
        <v/>
      </c>
      <c r="I18" s="38">
        <f>Drivers!I11*Assumptions!I19</f>
        <v/>
      </c>
      <c r="J18" s="38">
        <f>Drivers!J11*Assumptions!J19</f>
        <v/>
      </c>
      <c r="K18" s="38">
        <f>Drivers!K11*Assumptions!K19</f>
        <v/>
      </c>
      <c r="L18" s="38">
        <f>Drivers!L11*Assumptions!L19</f>
        <v/>
      </c>
    </row>
    <row r="19">
      <c r="A19" s="21" t="inlineStr">
        <is>
          <t>Athlete acquisition: popular</t>
        </is>
      </c>
      <c r="B19" s="22" t="inlineStr"/>
      <c r="C19" s="38">
        <f>Drivers!C25*Assumptions!C31</f>
        <v/>
      </c>
      <c r="D19" s="38">
        <f>Drivers!D25*Assumptions!D31</f>
        <v/>
      </c>
      <c r="E19" s="38">
        <f>Drivers!E25*Assumptions!E31</f>
        <v/>
      </c>
      <c r="F19" s="38">
        <f>Drivers!F25*Assumptions!F31</f>
        <v/>
      </c>
      <c r="G19" s="38">
        <f>Drivers!G25*Assumptions!G31</f>
        <v/>
      </c>
      <c r="H19" s="38">
        <f>Drivers!H25*Assumptions!H31</f>
        <v/>
      </c>
      <c r="I19" s="38">
        <f>Drivers!I25*Assumptions!I31</f>
        <v/>
      </c>
      <c r="J19" s="38">
        <f>Drivers!J25*Assumptions!J31</f>
        <v/>
      </c>
      <c r="K19" s="38">
        <f>Drivers!K25*Assumptions!K31</f>
        <v/>
      </c>
      <c r="L19" s="38">
        <f>Drivers!L25*Assumptions!L31</f>
        <v/>
      </c>
    </row>
    <row r="20">
      <c r="A20" s="21" t="inlineStr">
        <is>
          <t>Sponsor acquisition</t>
        </is>
      </c>
      <c r="B20" s="22" t="inlineStr"/>
      <c r="C20" s="38">
        <f>Drivers!C49*Assumptions!C37</f>
        <v/>
      </c>
      <c r="D20" s="38">
        <f>Drivers!D49*Assumptions!D37</f>
        <v/>
      </c>
      <c r="E20" s="38">
        <f>Drivers!E49*Assumptions!E37</f>
        <v/>
      </c>
      <c r="F20" s="38">
        <f>Drivers!F49*Assumptions!F37</f>
        <v/>
      </c>
      <c r="G20" s="38">
        <f>Drivers!G49*Assumptions!G37</f>
        <v/>
      </c>
      <c r="H20" s="38">
        <f>Drivers!H49*Assumptions!H37</f>
        <v/>
      </c>
      <c r="I20" s="38">
        <f>Drivers!I49*Assumptions!I37</f>
        <v/>
      </c>
      <c r="J20" s="38">
        <f>Drivers!J49*Assumptions!J37</f>
        <v/>
      </c>
      <c r="K20" s="38">
        <f>Drivers!K49*Assumptions!K37</f>
        <v/>
      </c>
      <c r="L20" s="38">
        <f>Drivers!L49*Assumptions!L37</f>
        <v/>
      </c>
    </row>
    <row r="21">
      <c r="A21" s="47" t="inlineStr">
        <is>
          <t>Total marketing / CAC</t>
        </is>
      </c>
      <c r="B21" s="48" t="inlineStr"/>
      <c r="C21" s="51">
        <f>SUM(C18:C20)</f>
        <v/>
      </c>
      <c r="D21" s="51">
        <f>SUM(D18:D20)</f>
        <v/>
      </c>
      <c r="E21" s="51">
        <f>SUM(E18:E20)</f>
        <v/>
      </c>
      <c r="F21" s="51">
        <f>SUM(F18:F20)</f>
        <v/>
      </c>
      <c r="G21" s="51">
        <f>SUM(G18:G20)</f>
        <v/>
      </c>
      <c r="H21" s="51">
        <f>SUM(H18:H20)</f>
        <v/>
      </c>
      <c r="I21" s="51">
        <f>SUM(I18:I20)</f>
        <v/>
      </c>
      <c r="J21" s="51">
        <f>SUM(J18:J20)</f>
        <v/>
      </c>
      <c r="K21" s="51">
        <f>SUM(K18:K20)</f>
        <v/>
      </c>
      <c r="L21" s="51">
        <f>SUM(L18:L20)</f>
        <v/>
      </c>
    </row>
    <row r="22">
      <c r="A22" s="21" t="inlineStr">
        <is>
          <t xml:space="preserve">  memo: athlete marketing per application</t>
        </is>
      </c>
      <c r="B22" s="22" t="inlineStr">
        <is>
          <t>CAC is per ADMITTED athlete</t>
        </is>
      </c>
      <c r="C22" s="37">
        <f>(C18+C19)/Drivers!C54</f>
        <v/>
      </c>
      <c r="D22" s="37">
        <f>(D18+D19)/Drivers!D54</f>
        <v/>
      </c>
      <c r="E22" s="37">
        <f>(E18+E19)/Drivers!E54</f>
        <v/>
      </c>
      <c r="F22" s="37">
        <f>(F18+F19)/Drivers!F54</f>
        <v/>
      </c>
      <c r="G22" s="37">
        <f>(G18+G19)/Drivers!G54</f>
        <v/>
      </c>
      <c r="H22" s="37">
        <f>(H18+H19)/Drivers!H54</f>
        <v/>
      </c>
      <c r="I22" s="37">
        <f>(I18+I19)/Drivers!I54</f>
        <v/>
      </c>
      <c r="J22" s="37">
        <f>(J18+J19)/Drivers!J54</f>
        <v/>
      </c>
      <c r="K22" s="37">
        <f>(K18+K19)/Drivers!K54</f>
        <v/>
      </c>
      <c r="L22" s="37">
        <f>(L18+L19)/Drivers!L54</f>
        <v/>
      </c>
    </row>
    <row r="23">
      <c r="A23" s="21" t="inlineStr">
        <is>
          <t>Legal &amp; compliance</t>
        </is>
      </c>
      <c r="B23" s="22" t="inlineStr"/>
      <c r="C23" s="38">
        <f>Assumptions!C68</f>
        <v/>
      </c>
      <c r="D23" s="38">
        <f>Assumptions!D68</f>
        <v/>
      </c>
      <c r="E23" s="38">
        <f>Assumptions!E68</f>
        <v/>
      </c>
      <c r="F23" s="38">
        <f>Assumptions!F68</f>
        <v/>
      </c>
      <c r="G23" s="38">
        <f>Assumptions!G68</f>
        <v/>
      </c>
      <c r="H23" s="38">
        <f>Assumptions!H68</f>
        <v/>
      </c>
      <c r="I23" s="38">
        <f>Assumptions!I68</f>
        <v/>
      </c>
      <c r="J23" s="38">
        <f>Assumptions!J68</f>
        <v/>
      </c>
      <c r="K23" s="38">
        <f>Assumptions!K68</f>
        <v/>
      </c>
      <c r="L23" s="38">
        <f>Assumptions!L68</f>
        <v/>
      </c>
    </row>
    <row r="24">
      <c r="A24" s="21" t="inlineStr">
        <is>
          <t>Other opex</t>
        </is>
      </c>
      <c r="B24" s="22" t="inlineStr">
        <is>
          <t>% of revenue</t>
        </is>
      </c>
      <c r="C24" s="38">
        <f>Revenue!C26*Assumptions!C69</f>
        <v/>
      </c>
      <c r="D24" s="38">
        <f>Revenue!D26*Assumptions!D69</f>
        <v/>
      </c>
      <c r="E24" s="38">
        <f>Revenue!E26*Assumptions!E69</f>
        <v/>
      </c>
      <c r="F24" s="38">
        <f>Revenue!F26*Assumptions!F69</f>
        <v/>
      </c>
      <c r="G24" s="38">
        <f>Revenue!G26*Assumptions!G69</f>
        <v/>
      </c>
      <c r="H24" s="38">
        <f>Revenue!H26*Assumptions!H69</f>
        <v/>
      </c>
      <c r="I24" s="38">
        <f>Revenue!I26*Assumptions!I69</f>
        <v/>
      </c>
      <c r="J24" s="38">
        <f>Revenue!J26*Assumptions!J69</f>
        <v/>
      </c>
      <c r="K24" s="38">
        <f>Revenue!K26*Assumptions!K69</f>
        <v/>
      </c>
      <c r="L24" s="38">
        <f>Revenue!L26*Assumptions!L69</f>
        <v/>
      </c>
    </row>
    <row r="25">
      <c r="A25" s="53" t="inlineStr">
        <is>
          <t>TOTAL OPERATING COSTS</t>
        </is>
      </c>
      <c r="B25" s="48" t="inlineStr"/>
      <c r="C25" s="54">
        <f>C17+C21+C23+C24</f>
        <v/>
      </c>
      <c r="D25" s="54">
        <f>D17+D21+D23+D24</f>
        <v/>
      </c>
      <c r="E25" s="54">
        <f>E17+E21+E23+E24</f>
        <v/>
      </c>
      <c r="F25" s="54">
        <f>F17+F21+F23+F24</f>
        <v/>
      </c>
      <c r="G25" s="54">
        <f>G17+G21+G23+G24</f>
        <v/>
      </c>
      <c r="H25" s="54">
        <f>H17+H21+H23+H24</f>
        <v/>
      </c>
      <c r="I25" s="54">
        <f>I17+I21+I23+I24</f>
        <v/>
      </c>
      <c r="J25" s="54">
        <f>J17+J21+J23+J24</f>
        <v/>
      </c>
      <c r="K25" s="54">
        <f>K17+K21+K23+K24</f>
        <v/>
      </c>
      <c r="L25" s="54">
        <f>L17+L21+L23+L24</f>
        <v/>
      </c>
    </row>
  </sheetData>
  <mergeCells count="5">
    <mergeCell ref="C2:D2"/>
    <mergeCell ref="G2:H2"/>
    <mergeCell ref="E2:F2"/>
    <mergeCell ref="K2:L2"/>
    <mergeCell ref="I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Working capital, capex and amortisation</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WORKING CAPITAL</t>
        </is>
      </c>
      <c r="B4" s="20" t="n"/>
      <c r="C4" s="20" t="n"/>
      <c r="D4" s="20" t="n"/>
      <c r="E4" s="20" t="n"/>
      <c r="F4" s="20" t="n"/>
      <c r="G4" s="20" t="n"/>
      <c r="H4" s="20" t="n"/>
      <c r="I4" s="20" t="n"/>
      <c r="J4" s="20" t="n"/>
      <c r="K4" s="20" t="n"/>
      <c r="L4" s="20" t="n"/>
    </row>
    <row r="5">
      <c r="A5" s="21" t="inlineStr">
        <is>
          <t>Sponsor receivables</t>
        </is>
      </c>
      <c r="B5" s="22" t="inlineStr">
        <is>
          <t>SaaS+take x AR days/365</t>
        </is>
      </c>
      <c r="C5" s="38">
        <f>(Revenue!C24+Revenue!C25)*Assumptions!C73/365</f>
        <v/>
      </c>
      <c r="D5" s="38">
        <f>(Revenue!D24+Revenue!D25)*Assumptions!D73/365</f>
        <v/>
      </c>
      <c r="E5" s="38">
        <f>(Revenue!E24+Revenue!E25)*Assumptions!E73/365</f>
        <v/>
      </c>
      <c r="F5" s="38">
        <f>(Revenue!F24+Revenue!F25)*Assumptions!F73/365</f>
        <v/>
      </c>
      <c r="G5" s="38">
        <f>(Revenue!G24+Revenue!G25)*Assumptions!G73/365</f>
        <v/>
      </c>
      <c r="H5" s="38">
        <f>(Revenue!H24+Revenue!H25)*Assumptions!H73/365</f>
        <v/>
      </c>
      <c r="I5" s="38">
        <f>(Revenue!I24+Revenue!I25)*Assumptions!I73/365</f>
        <v/>
      </c>
      <c r="J5" s="38">
        <f>(Revenue!J24+Revenue!J25)*Assumptions!J73/365</f>
        <v/>
      </c>
      <c r="K5" s="38">
        <f>(Revenue!K24+Revenue!K25)*Assumptions!K73/365</f>
        <v/>
      </c>
      <c r="L5" s="38">
        <f>(Revenue!L24+Revenue!L25)*Assumptions!L73/365</f>
        <v/>
      </c>
    </row>
    <row r="6">
      <c r="A6" s="21" t="inlineStr">
        <is>
          <t>Athlete payout float</t>
        </is>
      </c>
      <c r="B6" s="22" t="inlineStr">
        <is>
          <t>processed GMV owed, not yet paid</t>
        </is>
      </c>
      <c r="C6" s="38">
        <f>(Revenue!C10+Revenue!C15)*Assumptions!C72/365</f>
        <v/>
      </c>
      <c r="D6" s="38">
        <f>(Revenue!D10+Revenue!D15)*Assumptions!D72/365</f>
        <v/>
      </c>
      <c r="E6" s="38">
        <f>(Revenue!E10+Revenue!E15)*Assumptions!E72/365</f>
        <v/>
      </c>
      <c r="F6" s="38">
        <f>(Revenue!F10+Revenue!F15)*Assumptions!F72/365</f>
        <v/>
      </c>
      <c r="G6" s="38">
        <f>(Revenue!G10+Revenue!G15)*Assumptions!G72/365</f>
        <v/>
      </c>
      <c r="H6" s="38">
        <f>(Revenue!H10+Revenue!H15)*Assumptions!H72/365</f>
        <v/>
      </c>
      <c r="I6" s="38">
        <f>(Revenue!I10+Revenue!I15)*Assumptions!I72/365</f>
        <v/>
      </c>
      <c r="J6" s="38">
        <f>(Revenue!J10+Revenue!J15)*Assumptions!J72/365</f>
        <v/>
      </c>
      <c r="K6" s="38">
        <f>(Revenue!K10+Revenue!K15)*Assumptions!K72/365</f>
        <v/>
      </c>
      <c r="L6" s="38">
        <f>(Revenue!L10+Revenue!L15)*Assumptions!L72/365</f>
        <v/>
      </c>
    </row>
    <row r="7">
      <c r="A7" s="21" t="inlineStr">
        <is>
          <t>Trade payables</t>
        </is>
      </c>
      <c r="B7" s="22" t="inlineStr">
        <is>
          <t>opex x AP days/365</t>
        </is>
      </c>
      <c r="C7" s="38">
        <f>Costs!C25*Assumptions!C74/365</f>
        <v/>
      </c>
      <c r="D7" s="38">
        <f>Costs!D25*Assumptions!D74/365</f>
        <v/>
      </c>
      <c r="E7" s="38">
        <f>Costs!E25*Assumptions!E74/365</f>
        <v/>
      </c>
      <c r="F7" s="38">
        <f>Costs!F25*Assumptions!F74/365</f>
        <v/>
      </c>
      <c r="G7" s="38">
        <f>Costs!G25*Assumptions!G74/365</f>
        <v/>
      </c>
      <c r="H7" s="38">
        <f>Costs!H25*Assumptions!H74/365</f>
        <v/>
      </c>
      <c r="I7" s="38">
        <f>Costs!I25*Assumptions!I74/365</f>
        <v/>
      </c>
      <c r="J7" s="38">
        <f>Costs!J25*Assumptions!J74/365</f>
        <v/>
      </c>
      <c r="K7" s="38">
        <f>Costs!K25*Assumptions!K74/365</f>
        <v/>
      </c>
      <c r="L7" s="38">
        <f>Costs!L25*Assumptions!L74/365</f>
        <v/>
      </c>
    </row>
    <row r="8">
      <c r="A8" s="47" t="inlineStr">
        <is>
          <t>Net working capital</t>
        </is>
      </c>
      <c r="B8" s="48" t="inlineStr">
        <is>
          <t>AR - float - AP</t>
        </is>
      </c>
      <c r="C8" s="51">
        <f>C5-C6-C7</f>
        <v/>
      </c>
      <c r="D8" s="51">
        <f>D5-D6-D7</f>
        <v/>
      </c>
      <c r="E8" s="51">
        <f>E5-E6-E7</f>
        <v/>
      </c>
      <c r="F8" s="51">
        <f>F5-F6-F7</f>
        <v/>
      </c>
      <c r="G8" s="51">
        <f>G5-G6-G7</f>
        <v/>
      </c>
      <c r="H8" s="51">
        <f>H5-H6-H7</f>
        <v/>
      </c>
      <c r="I8" s="51">
        <f>I5-I6-I7</f>
        <v/>
      </c>
      <c r="J8" s="51">
        <f>J5-J6-J7</f>
        <v/>
      </c>
      <c r="K8" s="51">
        <f>K5-K6-K7</f>
        <v/>
      </c>
      <c r="L8" s="51">
        <f>L5-L6-L7</f>
        <v/>
      </c>
    </row>
    <row r="9">
      <c r="A9" s="21" t="inlineStr">
        <is>
          <t>Change in NWC</t>
        </is>
      </c>
      <c r="B9" s="22" t="inlineStr">
        <is>
          <t>cash impact</t>
        </is>
      </c>
      <c r="C9" s="55">
        <f>IF(1=1,C8,C8-C8)</f>
        <v/>
      </c>
      <c r="D9" s="55">
        <f>IF(2=1,D8,D8-C8)</f>
        <v/>
      </c>
      <c r="E9" s="55">
        <f>IF(3=1,E8,E8-D8)</f>
        <v/>
      </c>
      <c r="F9" s="55">
        <f>IF(4=1,F8,F8-E8)</f>
        <v/>
      </c>
      <c r="G9" s="55">
        <f>IF(5=1,G8,G8-F8)</f>
        <v/>
      </c>
      <c r="H9" s="55">
        <f>IF(6=1,H8,H8-G8)</f>
        <v/>
      </c>
      <c r="I9" s="55">
        <f>IF(7=1,I8,I8-H8)</f>
        <v/>
      </c>
      <c r="J9" s="55">
        <f>IF(8=1,J8,J8-I8)</f>
        <v/>
      </c>
      <c r="K9" s="55">
        <f>IF(9=1,K8,K8-J8)</f>
        <v/>
      </c>
      <c r="L9" s="55">
        <f>IF(10=1,L8,L8-K8)</f>
        <v/>
      </c>
    </row>
    <row r="11">
      <c r="A11" s="19" t="inlineStr">
        <is>
          <t>CAPEX &amp; AMORTISATION</t>
        </is>
      </c>
      <c r="B11" s="20" t="n"/>
      <c r="C11" s="20" t="n"/>
      <c r="D11" s="20" t="n"/>
      <c r="E11" s="20" t="n"/>
      <c r="F11" s="20" t="n"/>
      <c r="G11" s="20" t="n"/>
      <c r="H11" s="20" t="n"/>
      <c r="I11" s="20" t="n"/>
      <c r="J11" s="20" t="n"/>
      <c r="K11" s="20" t="n"/>
      <c r="L11" s="20" t="n"/>
    </row>
    <row r="12">
      <c r="A12" s="21" t="inlineStr">
        <is>
          <t>Capitalised development</t>
        </is>
      </c>
      <c r="B12" s="22" t="inlineStr">
        <is>
          <t>% of people cost</t>
        </is>
      </c>
      <c r="C12" s="38">
        <f>Costs!C17*Assumptions!C75</f>
        <v/>
      </c>
      <c r="D12" s="38">
        <f>Costs!D17*Assumptions!D75</f>
        <v/>
      </c>
      <c r="E12" s="38">
        <f>Costs!E17*Assumptions!E75</f>
        <v/>
      </c>
      <c r="F12" s="38">
        <f>Costs!F17*Assumptions!F75</f>
        <v/>
      </c>
      <c r="G12" s="38">
        <f>Costs!G17*Assumptions!G75</f>
        <v/>
      </c>
      <c r="H12" s="38">
        <f>Costs!H17*Assumptions!H75</f>
        <v/>
      </c>
      <c r="I12" s="38">
        <f>Costs!I17*Assumptions!I75</f>
        <v/>
      </c>
      <c r="J12" s="38">
        <f>Costs!J17*Assumptions!J75</f>
        <v/>
      </c>
      <c r="K12" s="38">
        <f>Costs!K17*Assumptions!K75</f>
        <v/>
      </c>
      <c r="L12" s="38">
        <f>Costs!L17*Assumptions!L75</f>
        <v/>
      </c>
    </row>
    <row r="13">
      <c r="A13" s="21" t="inlineStr">
        <is>
          <t>Amortisation</t>
        </is>
      </c>
      <c r="B13" s="22" t="inlineStr">
        <is>
          <t>3-yr straight line on trailing capex</t>
        </is>
      </c>
      <c r="C13" s="38">
        <f>SUM(OFFSET(C12,0,-MIN(Assumptions!C76-1,1-1),1,MIN(Assumptions!C76,1)))/Assumptions!C76</f>
        <v/>
      </c>
      <c r="D13" s="38">
        <f>SUM(OFFSET(D12,0,-MIN(Assumptions!D76-1,2-1),1,MIN(Assumptions!D76,2)))/Assumptions!D76</f>
        <v/>
      </c>
      <c r="E13" s="38">
        <f>SUM(OFFSET(E12,0,-MIN(Assumptions!E76-1,3-1),1,MIN(Assumptions!E76,3)))/Assumptions!E76</f>
        <v/>
      </c>
      <c r="F13" s="38">
        <f>SUM(OFFSET(F12,0,-MIN(Assumptions!F76-1,4-1),1,MIN(Assumptions!F76,4)))/Assumptions!F76</f>
        <v/>
      </c>
      <c r="G13" s="38">
        <f>SUM(OFFSET(G12,0,-MIN(Assumptions!G76-1,5-1),1,MIN(Assumptions!G76,5)))/Assumptions!G76</f>
        <v/>
      </c>
      <c r="H13" s="38">
        <f>SUM(OFFSET(H12,0,-MIN(Assumptions!H76-1,6-1),1,MIN(Assumptions!H76,6)))/Assumptions!H76</f>
        <v/>
      </c>
      <c r="I13" s="38">
        <f>SUM(OFFSET(I12,0,-MIN(Assumptions!I76-1,7-1),1,MIN(Assumptions!I76,7)))/Assumptions!I76</f>
        <v/>
      </c>
      <c r="J13" s="38">
        <f>SUM(OFFSET(J12,0,-MIN(Assumptions!J76-1,8-1),1,MIN(Assumptions!J76,8)))/Assumptions!J76</f>
        <v/>
      </c>
      <c r="K13" s="38">
        <f>SUM(OFFSET(K12,0,-MIN(Assumptions!K76-1,9-1),1,MIN(Assumptions!K76,9)))/Assumptions!K76</f>
        <v/>
      </c>
      <c r="L13" s="38">
        <f>SUM(OFFSET(L12,0,-MIN(Assumptions!L76-1,10-1),1,MIN(Assumptions!L76,10)))/Assumptions!L76</f>
        <v/>
      </c>
    </row>
    <row r="14">
      <c r="A14" s="21" t="inlineStr">
        <is>
          <t>Net intangible assets</t>
        </is>
      </c>
      <c r="B14" s="22" t="inlineStr">
        <is>
          <t>closing</t>
        </is>
      </c>
      <c r="C14" s="55">
        <f>C12-C13</f>
        <v/>
      </c>
      <c r="D14" s="55">
        <f>C14+D12-D13</f>
        <v/>
      </c>
      <c r="E14" s="55">
        <f>D14+E12-E13</f>
        <v/>
      </c>
      <c r="F14" s="55">
        <f>E14+F12-F13</f>
        <v/>
      </c>
      <c r="G14" s="55">
        <f>F14+G12-G13</f>
        <v/>
      </c>
      <c r="H14" s="55">
        <f>G14+H12-H13</f>
        <v/>
      </c>
      <c r="I14" s="55">
        <f>H14+I12-I13</f>
        <v/>
      </c>
      <c r="J14" s="55">
        <f>I14+J12-J13</f>
        <v/>
      </c>
      <c r="K14" s="55">
        <f>J14+K12-K13</f>
        <v/>
      </c>
      <c r="L14" s="55">
        <f>K14+L12-L13</f>
        <v/>
      </c>
    </row>
  </sheetData>
  <mergeCells count="5">
    <mergeCell ref="C2:D2"/>
    <mergeCell ref="G2:H2"/>
    <mergeCell ref="E2:F2"/>
    <mergeCell ref="K2:L2"/>
    <mergeCell ref="I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Income statement</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47" t="inlineStr">
        <is>
          <t>Net revenue</t>
        </is>
      </c>
      <c r="B4" s="48" t="inlineStr"/>
      <c r="C4" s="57">
        <f>Revenue!C26</f>
        <v/>
      </c>
      <c r="D4" s="57">
        <f>Revenue!D26</f>
        <v/>
      </c>
      <c r="E4" s="57">
        <f>Revenue!E26</f>
        <v/>
      </c>
      <c r="F4" s="57">
        <f>Revenue!F26</f>
        <v/>
      </c>
      <c r="G4" s="57">
        <f>Revenue!G26</f>
        <v/>
      </c>
      <c r="H4" s="57">
        <f>Revenue!H26</f>
        <v/>
      </c>
      <c r="I4" s="57">
        <f>Revenue!I26</f>
        <v/>
      </c>
      <c r="J4" s="57">
        <f>Revenue!J26</f>
        <v/>
      </c>
      <c r="K4" s="57">
        <f>Revenue!K26</f>
        <v/>
      </c>
      <c r="L4" s="57">
        <f>Revenue!L26</f>
        <v/>
      </c>
    </row>
    <row r="5">
      <c r="A5" s="21" t="inlineStr">
        <is>
          <t>Cost of sales</t>
        </is>
      </c>
      <c r="B5" s="22" t="inlineStr"/>
      <c r="C5" s="38">
        <f>-Costs!C14</f>
        <v/>
      </c>
      <c r="D5" s="38">
        <f>-Costs!D14</f>
        <v/>
      </c>
      <c r="E5" s="38">
        <f>-Costs!E14</f>
        <v/>
      </c>
      <c r="F5" s="38">
        <f>-Costs!F14</f>
        <v/>
      </c>
      <c r="G5" s="38">
        <f>-Costs!G14</f>
        <v/>
      </c>
      <c r="H5" s="38">
        <f>-Costs!H14</f>
        <v/>
      </c>
      <c r="I5" s="38">
        <f>-Costs!I14</f>
        <v/>
      </c>
      <c r="J5" s="38">
        <f>-Costs!J14</f>
        <v/>
      </c>
      <c r="K5" s="38">
        <f>-Costs!K14</f>
        <v/>
      </c>
      <c r="L5" s="38">
        <f>-Costs!L14</f>
        <v/>
      </c>
    </row>
    <row r="6">
      <c r="A6" s="53" t="inlineStr">
        <is>
          <t>GROSS PROFIT</t>
        </is>
      </c>
      <c r="B6" s="48" t="inlineStr"/>
      <c r="C6" s="54">
        <f>C4+C5</f>
        <v/>
      </c>
      <c r="D6" s="54">
        <f>D4+D5</f>
        <v/>
      </c>
      <c r="E6" s="54">
        <f>E4+E5</f>
        <v/>
      </c>
      <c r="F6" s="54">
        <f>F4+F5</f>
        <v/>
      </c>
      <c r="G6" s="54">
        <f>G4+G5</f>
        <v/>
      </c>
      <c r="H6" s="54">
        <f>H4+H5</f>
        <v/>
      </c>
      <c r="I6" s="54">
        <f>I4+I5</f>
        <v/>
      </c>
      <c r="J6" s="54">
        <f>J4+J5</f>
        <v/>
      </c>
      <c r="K6" s="54">
        <f>K4+K5</f>
        <v/>
      </c>
      <c r="L6" s="54">
        <f>L4+L5</f>
        <v/>
      </c>
    </row>
    <row r="7">
      <c r="A7" s="21" t="inlineStr">
        <is>
          <t>Gross margin</t>
        </is>
      </c>
      <c r="B7" s="22" t="inlineStr"/>
      <c r="C7" s="56">
        <f>C6/C4</f>
        <v/>
      </c>
      <c r="D7" s="56">
        <f>D6/D4</f>
        <v/>
      </c>
      <c r="E7" s="56">
        <f>E6/E4</f>
        <v/>
      </c>
      <c r="F7" s="56">
        <f>F6/F4</f>
        <v/>
      </c>
      <c r="G7" s="56">
        <f>G6/G4</f>
        <v/>
      </c>
      <c r="H7" s="56">
        <f>H6/H4</f>
        <v/>
      </c>
      <c r="I7" s="56">
        <f>I6/I4</f>
        <v/>
      </c>
      <c r="J7" s="56">
        <f>J6/J4</f>
        <v/>
      </c>
      <c r="K7" s="56">
        <f>K6/K4</f>
        <v/>
      </c>
      <c r="L7" s="56">
        <f>L6/L4</f>
        <v/>
      </c>
    </row>
    <row r="9">
      <c r="A9" s="21" t="inlineStr">
        <is>
          <t>Operating costs</t>
        </is>
      </c>
      <c r="B9" s="22" t="inlineStr"/>
      <c r="C9" s="38">
        <f>-Costs!C25</f>
        <v/>
      </c>
      <c r="D9" s="38">
        <f>-Costs!D25</f>
        <v/>
      </c>
      <c r="E9" s="38">
        <f>-Costs!E25</f>
        <v/>
      </c>
      <c r="F9" s="38">
        <f>-Costs!F25</f>
        <v/>
      </c>
      <c r="G9" s="38">
        <f>-Costs!G25</f>
        <v/>
      </c>
      <c r="H9" s="38">
        <f>-Costs!H25</f>
        <v/>
      </c>
      <c r="I9" s="38">
        <f>-Costs!I25</f>
        <v/>
      </c>
      <c r="J9" s="38">
        <f>-Costs!J25</f>
        <v/>
      </c>
      <c r="K9" s="38">
        <f>-Costs!K25</f>
        <v/>
      </c>
      <c r="L9" s="38">
        <f>-Costs!L25</f>
        <v/>
      </c>
    </row>
    <row r="10">
      <c r="A10" s="53" t="inlineStr">
        <is>
          <t>EBITDA</t>
        </is>
      </c>
      <c r="B10" s="48" t="inlineStr"/>
      <c r="C10" s="54">
        <f>C6+C9</f>
        <v/>
      </c>
      <c r="D10" s="54">
        <f>D6+D9</f>
        <v/>
      </c>
      <c r="E10" s="54">
        <f>E6+E9</f>
        <v/>
      </c>
      <c r="F10" s="54">
        <f>F6+F9</f>
        <v/>
      </c>
      <c r="G10" s="54">
        <f>G6+G9</f>
        <v/>
      </c>
      <c r="H10" s="54">
        <f>H6+H9</f>
        <v/>
      </c>
      <c r="I10" s="54">
        <f>I6+I9</f>
        <v/>
      </c>
      <c r="J10" s="54">
        <f>J6+J9</f>
        <v/>
      </c>
      <c r="K10" s="54">
        <f>K6+K9</f>
        <v/>
      </c>
      <c r="L10" s="54">
        <f>L6+L9</f>
        <v/>
      </c>
    </row>
    <row r="11">
      <c r="A11" s="21" t="inlineStr">
        <is>
          <t>EBITDA margin</t>
        </is>
      </c>
      <c r="B11" s="22" t="inlineStr"/>
      <c r="C11" s="56">
        <f>C10/C4</f>
        <v/>
      </c>
      <c r="D11" s="56">
        <f>D10/D4</f>
        <v/>
      </c>
      <c r="E11" s="56">
        <f>E10/E4</f>
        <v/>
      </c>
      <c r="F11" s="56">
        <f>F10/F4</f>
        <v/>
      </c>
      <c r="G11" s="56">
        <f>G10/G4</f>
        <v/>
      </c>
      <c r="H11" s="56">
        <f>H10/H4</f>
        <v/>
      </c>
      <c r="I11" s="56">
        <f>I10/I4</f>
        <v/>
      </c>
      <c r="J11" s="56">
        <f>J10/J4</f>
        <v/>
      </c>
      <c r="K11" s="56">
        <f>K10/K4</f>
        <v/>
      </c>
      <c r="L11" s="56">
        <f>L10/L4</f>
        <v/>
      </c>
    </row>
    <row r="12">
      <c r="A12" s="21" t="inlineStr">
        <is>
          <t>Amortisation</t>
        </is>
      </c>
      <c r="B12" s="22" t="inlineStr"/>
      <c r="C12" s="38">
        <f>-WorkingCap!C13</f>
        <v/>
      </c>
      <c r="D12" s="38">
        <f>-WorkingCap!D13</f>
        <v/>
      </c>
      <c r="E12" s="38">
        <f>-WorkingCap!E13</f>
        <v/>
      </c>
      <c r="F12" s="38">
        <f>-WorkingCap!F13</f>
        <v/>
      </c>
      <c r="G12" s="38">
        <f>-WorkingCap!G13</f>
        <v/>
      </c>
      <c r="H12" s="38">
        <f>-WorkingCap!H13</f>
        <v/>
      </c>
      <c r="I12" s="38">
        <f>-WorkingCap!I13</f>
        <v/>
      </c>
      <c r="J12" s="38">
        <f>-WorkingCap!J13</f>
        <v/>
      </c>
      <c r="K12" s="38">
        <f>-WorkingCap!K13</f>
        <v/>
      </c>
      <c r="L12" s="38">
        <f>-WorkingCap!L13</f>
        <v/>
      </c>
    </row>
    <row r="13">
      <c r="A13" s="47" t="inlineStr">
        <is>
          <t>EBIT</t>
        </is>
      </c>
      <c r="B13" s="48" t="inlineStr"/>
      <c r="C13" s="51">
        <f>C10+C12</f>
        <v/>
      </c>
      <c r="D13" s="51">
        <f>D10+D12</f>
        <v/>
      </c>
      <c r="E13" s="51">
        <f>E10+E12</f>
        <v/>
      </c>
      <c r="F13" s="51">
        <f>F10+F12</f>
        <v/>
      </c>
      <c r="G13" s="51">
        <f>G10+G12</f>
        <v/>
      </c>
      <c r="H13" s="51">
        <f>H10+H12</f>
        <v/>
      </c>
      <c r="I13" s="51">
        <f>I10+I12</f>
        <v/>
      </c>
      <c r="J13" s="51">
        <f>J10+J12</f>
        <v/>
      </c>
      <c r="K13" s="51">
        <f>K10+K12</f>
        <v/>
      </c>
      <c r="L13" s="51">
        <f>L10+L12</f>
        <v/>
      </c>
    </row>
    <row r="15">
      <c r="A15" s="19" t="inlineStr">
        <is>
          <t>TAX: with loss carryforward and the startup-rate step</t>
        </is>
      </c>
      <c r="B15" s="20" t="n"/>
      <c r="C15" s="20" t="n"/>
      <c r="D15" s="20" t="n"/>
      <c r="E15" s="20" t="n"/>
      <c r="F15" s="20" t="n"/>
      <c r="G15" s="20" t="n"/>
      <c r="H15" s="20" t="n"/>
      <c r="I15" s="20" t="n"/>
      <c r="J15" s="20" t="n"/>
      <c r="K15" s="20" t="n"/>
      <c r="L15" s="20" t="n"/>
    </row>
    <row r="16">
      <c r="A16" s="21" t="inlineStr">
        <is>
          <t>Losses brought forward</t>
        </is>
      </c>
      <c r="B16" s="22" t="inlineStr">
        <is>
          <t>accumulated</t>
        </is>
      </c>
      <c r="C16" s="55">
        <f>IF(1=1,0,MIN(0,C18))</f>
        <v/>
      </c>
      <c r="D16" s="55">
        <f>IF(2=1,0,MIN(0,C18))</f>
        <v/>
      </c>
      <c r="E16" s="55">
        <f>IF(3=1,0,MIN(0,D18))</f>
        <v/>
      </c>
      <c r="F16" s="55">
        <f>IF(4=1,0,MIN(0,E18))</f>
        <v/>
      </c>
      <c r="G16" s="55">
        <f>IF(5=1,0,MIN(0,F18))</f>
        <v/>
      </c>
      <c r="H16" s="55">
        <f>IF(6=1,0,MIN(0,G18))</f>
        <v/>
      </c>
      <c r="I16" s="55">
        <f>IF(7=1,0,MIN(0,H18))</f>
        <v/>
      </c>
      <c r="J16" s="55">
        <f>IF(8=1,0,MIN(0,I18))</f>
        <v/>
      </c>
      <c r="K16" s="55">
        <f>IF(9=1,0,MIN(0,J18))</f>
        <v/>
      </c>
      <c r="L16" s="55">
        <f>IF(10=1,0,MIN(0,K18))</f>
        <v/>
      </c>
    </row>
    <row r="17">
      <c r="A17" s="21" t="inlineStr">
        <is>
          <t>Taxable profit</t>
        </is>
      </c>
      <c r="B17" s="22" t="inlineStr">
        <is>
          <t>after offset</t>
        </is>
      </c>
      <c r="C17" s="55">
        <f>MAX(0,C13+C16)</f>
        <v/>
      </c>
      <c r="D17" s="55">
        <f>MAX(0,D13+D16)</f>
        <v/>
      </c>
      <c r="E17" s="55">
        <f>MAX(0,E13+E16)</f>
        <v/>
      </c>
      <c r="F17" s="55">
        <f>MAX(0,F13+F16)</f>
        <v/>
      </c>
      <c r="G17" s="55">
        <f>MAX(0,G13+G16)</f>
        <v/>
      </c>
      <c r="H17" s="55">
        <f>MAX(0,H13+H16)</f>
        <v/>
      </c>
      <c r="I17" s="55">
        <f>MAX(0,I13+I16)</f>
        <v/>
      </c>
      <c r="J17" s="55">
        <f>MAX(0,J13+J16)</f>
        <v/>
      </c>
      <c r="K17" s="55">
        <f>MAX(0,K13+K16)</f>
        <v/>
      </c>
      <c r="L17" s="55">
        <f>MAX(0,L13+L16)</f>
        <v/>
      </c>
    </row>
    <row r="18">
      <c r="A18" s="21" t="inlineStr">
        <is>
          <t>Losses carried forward</t>
        </is>
      </c>
      <c r="B18" s="22" t="inlineStr">
        <is>
          <t>running</t>
        </is>
      </c>
      <c r="C18" s="55">
        <f>MIN(0,C13)</f>
        <v/>
      </c>
      <c r="D18" s="55">
        <f>MIN(0,D13+C18)</f>
        <v/>
      </c>
      <c r="E18" s="55">
        <f>MIN(0,E13+D18)</f>
        <v/>
      </c>
      <c r="F18" s="55">
        <f>MIN(0,F13+E18)</f>
        <v/>
      </c>
      <c r="G18" s="55">
        <f>MIN(0,G13+F18)</f>
        <v/>
      </c>
      <c r="H18" s="55">
        <f>MIN(0,H13+G18)</f>
        <v/>
      </c>
      <c r="I18" s="55">
        <f>MIN(0,I13+H18)</f>
        <v/>
      </c>
      <c r="J18" s="55">
        <f>MIN(0,J13+I18)</f>
        <v/>
      </c>
      <c r="K18" s="55">
        <f>MIN(0,K13+J18)</f>
        <v/>
      </c>
      <c r="L18" s="55">
        <f>MIN(0,L13+K18)</f>
        <v/>
      </c>
    </row>
    <row r="19">
      <c r="A19" s="21" t="inlineStr">
        <is>
          <t>Applicable tax rate</t>
        </is>
      </c>
      <c r="B19" s="22" t="inlineStr">
        <is>
          <t>15% then 25%</t>
        </is>
      </c>
      <c r="C19" s="31">
        <f>IF(C17&lt;=0,0,IF(COUNTIF($C17:C17,"&gt;0")&lt;=Assumptions!C79,Assumptions!C77,Assumptions!C78))</f>
        <v/>
      </c>
      <c r="D19" s="31">
        <f>IF(D17&lt;=0,0,IF(COUNTIF($C17:D17,"&gt;0")&lt;=Assumptions!D79,Assumptions!D77,Assumptions!D78))</f>
        <v/>
      </c>
      <c r="E19" s="31">
        <f>IF(E17&lt;=0,0,IF(COUNTIF($C17:E17,"&gt;0")&lt;=Assumptions!E79,Assumptions!E77,Assumptions!E78))</f>
        <v/>
      </c>
      <c r="F19" s="31">
        <f>IF(F17&lt;=0,0,IF(COUNTIF($C17:F17,"&gt;0")&lt;=Assumptions!F79,Assumptions!F77,Assumptions!F78))</f>
        <v/>
      </c>
      <c r="G19" s="31">
        <f>IF(G17&lt;=0,0,IF(COUNTIF($C17:G17,"&gt;0")&lt;=Assumptions!G79,Assumptions!G77,Assumptions!G78))</f>
        <v/>
      </c>
      <c r="H19" s="31">
        <f>IF(H17&lt;=0,0,IF(COUNTIF($C17:H17,"&gt;0")&lt;=Assumptions!H79,Assumptions!H77,Assumptions!H78))</f>
        <v/>
      </c>
      <c r="I19" s="31">
        <f>IF(I17&lt;=0,0,IF(COUNTIF($C17:I17,"&gt;0")&lt;=Assumptions!I79,Assumptions!I77,Assumptions!I78))</f>
        <v/>
      </c>
      <c r="J19" s="31">
        <f>IF(J17&lt;=0,0,IF(COUNTIF($C17:J17,"&gt;0")&lt;=Assumptions!J79,Assumptions!J77,Assumptions!J78))</f>
        <v/>
      </c>
      <c r="K19" s="31">
        <f>IF(K17&lt;=0,0,IF(COUNTIF($C17:K17,"&gt;0")&lt;=Assumptions!K79,Assumptions!K77,Assumptions!K78))</f>
        <v/>
      </c>
      <c r="L19" s="31">
        <f>IF(L17&lt;=0,0,IF(COUNTIF($C17:L17,"&gt;0")&lt;=Assumptions!L79,Assumptions!L77,Assumptions!L78))</f>
        <v/>
      </c>
    </row>
    <row r="20">
      <c r="A20" s="21" t="inlineStr">
        <is>
          <t>Tax charge</t>
        </is>
      </c>
      <c r="B20" s="22" t="inlineStr"/>
      <c r="C20" s="55">
        <f>-C17*C19</f>
        <v/>
      </c>
      <c r="D20" s="55">
        <f>-D17*D19</f>
        <v/>
      </c>
      <c r="E20" s="55">
        <f>-E17*E19</f>
        <v/>
      </c>
      <c r="F20" s="55">
        <f>-F17*F19</f>
        <v/>
      </c>
      <c r="G20" s="55">
        <f>-G17*G19</f>
        <v/>
      </c>
      <c r="H20" s="55">
        <f>-H17*H19</f>
        <v/>
      </c>
      <c r="I20" s="55">
        <f>-I17*I19</f>
        <v/>
      </c>
      <c r="J20" s="55">
        <f>-J17*J19</f>
        <v/>
      </c>
      <c r="K20" s="55">
        <f>-K17*K19</f>
        <v/>
      </c>
      <c r="L20" s="55">
        <f>-L17*L19</f>
        <v/>
      </c>
    </row>
    <row r="21">
      <c r="A21" s="53" t="inlineStr">
        <is>
          <t>NET PROFIT</t>
        </is>
      </c>
      <c r="B21" s="48" t="inlineStr"/>
      <c r="C21" s="54">
        <f>C13+C20</f>
        <v/>
      </c>
      <c r="D21" s="54">
        <f>D13+D20</f>
        <v/>
      </c>
      <c r="E21" s="54">
        <f>E13+E20</f>
        <v/>
      </c>
      <c r="F21" s="54">
        <f>F13+F20</f>
        <v/>
      </c>
      <c r="G21" s="54">
        <f>G13+G20</f>
        <v/>
      </c>
      <c r="H21" s="54">
        <f>H13+H20</f>
        <v/>
      </c>
      <c r="I21" s="54">
        <f>I13+I20</f>
        <v/>
      </c>
      <c r="J21" s="54">
        <f>J13+J20</f>
        <v/>
      </c>
      <c r="K21" s="54">
        <f>K13+K20</f>
        <v/>
      </c>
      <c r="L21" s="54">
        <f>L13+L20</f>
        <v/>
      </c>
    </row>
  </sheetData>
  <mergeCells count="5">
    <mergeCell ref="C2:D2"/>
    <mergeCell ref="G2:H2"/>
    <mergeCell ref="E2:F2"/>
    <mergeCell ref="K2:L2"/>
    <mergeCell ref="I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Cash flow, indirect method</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21" t="inlineStr">
        <is>
          <t>Net profit</t>
        </is>
      </c>
      <c r="B4" s="22" t="inlineStr"/>
      <c r="C4" s="38">
        <f>'P&amp;L'!C21</f>
        <v/>
      </c>
      <c r="D4" s="38">
        <f>'P&amp;L'!D21</f>
        <v/>
      </c>
      <c r="E4" s="38">
        <f>'P&amp;L'!E21</f>
        <v/>
      </c>
      <c r="F4" s="38">
        <f>'P&amp;L'!F21</f>
        <v/>
      </c>
      <c r="G4" s="38">
        <f>'P&amp;L'!G21</f>
        <v/>
      </c>
      <c r="H4" s="38">
        <f>'P&amp;L'!H21</f>
        <v/>
      </c>
      <c r="I4" s="38">
        <f>'P&amp;L'!I21</f>
        <v/>
      </c>
      <c r="J4" s="38">
        <f>'P&amp;L'!J21</f>
        <v/>
      </c>
      <c r="K4" s="38">
        <f>'P&amp;L'!K21</f>
        <v/>
      </c>
      <c r="L4" s="38">
        <f>'P&amp;L'!L21</f>
        <v/>
      </c>
    </row>
    <row r="5">
      <c r="A5" s="21" t="inlineStr">
        <is>
          <t>Add back amortisation</t>
        </is>
      </c>
      <c r="B5" s="22" t="inlineStr"/>
      <c r="C5" s="38">
        <f>WorkingCap!C13</f>
        <v/>
      </c>
      <c r="D5" s="38">
        <f>WorkingCap!D13</f>
        <v/>
      </c>
      <c r="E5" s="38">
        <f>WorkingCap!E13</f>
        <v/>
      </c>
      <c r="F5" s="38">
        <f>WorkingCap!F13</f>
        <v/>
      </c>
      <c r="G5" s="38">
        <f>WorkingCap!G13</f>
        <v/>
      </c>
      <c r="H5" s="38">
        <f>WorkingCap!H13</f>
        <v/>
      </c>
      <c r="I5" s="38">
        <f>WorkingCap!I13</f>
        <v/>
      </c>
      <c r="J5" s="38">
        <f>WorkingCap!J13</f>
        <v/>
      </c>
      <c r="K5" s="38">
        <f>WorkingCap!K13</f>
        <v/>
      </c>
      <c r="L5" s="38">
        <f>WorkingCap!L13</f>
        <v/>
      </c>
    </row>
    <row r="6">
      <c r="A6" s="21" t="inlineStr">
        <is>
          <t>Change in working capital</t>
        </is>
      </c>
      <c r="B6" s="22" t="inlineStr"/>
      <c r="C6" s="38">
        <f>-WorkingCap!C9</f>
        <v/>
      </c>
      <c r="D6" s="38">
        <f>-WorkingCap!D9</f>
        <v/>
      </c>
      <c r="E6" s="38">
        <f>-WorkingCap!E9</f>
        <v/>
      </c>
      <c r="F6" s="38">
        <f>-WorkingCap!F9</f>
        <v/>
      </c>
      <c r="G6" s="38">
        <f>-WorkingCap!G9</f>
        <v/>
      </c>
      <c r="H6" s="38">
        <f>-WorkingCap!H9</f>
        <v/>
      </c>
      <c r="I6" s="38">
        <f>-WorkingCap!I9</f>
        <v/>
      </c>
      <c r="J6" s="38">
        <f>-WorkingCap!J9</f>
        <v/>
      </c>
      <c r="K6" s="38">
        <f>-WorkingCap!K9</f>
        <v/>
      </c>
      <c r="L6" s="38">
        <f>-WorkingCap!L9</f>
        <v/>
      </c>
    </row>
    <row r="7">
      <c r="A7" s="53" t="inlineStr">
        <is>
          <t>OPERATING CASH FLOW</t>
        </is>
      </c>
      <c r="B7" s="48" t="inlineStr"/>
      <c r="C7" s="54">
        <f>SUM(C4:C6)</f>
        <v/>
      </c>
      <c r="D7" s="54">
        <f>SUM(D4:D6)</f>
        <v/>
      </c>
      <c r="E7" s="54">
        <f>SUM(E4:E6)</f>
        <v/>
      </c>
      <c r="F7" s="54">
        <f>SUM(F4:F6)</f>
        <v/>
      </c>
      <c r="G7" s="54">
        <f>SUM(G4:G6)</f>
        <v/>
      </c>
      <c r="H7" s="54">
        <f>SUM(H4:H6)</f>
        <v/>
      </c>
      <c r="I7" s="54">
        <f>SUM(I4:I6)</f>
        <v/>
      </c>
      <c r="J7" s="54">
        <f>SUM(J4:J6)</f>
        <v/>
      </c>
      <c r="K7" s="54">
        <f>SUM(K4:K6)</f>
        <v/>
      </c>
      <c r="L7" s="54">
        <f>SUM(L4:L6)</f>
        <v/>
      </c>
    </row>
    <row r="8">
      <c r="A8" s="21" t="inlineStr">
        <is>
          <t>Capital expenditure</t>
        </is>
      </c>
      <c r="B8" s="22" t="inlineStr"/>
      <c r="C8" s="38">
        <f>-WorkingCap!C12</f>
        <v/>
      </c>
      <c r="D8" s="38">
        <f>-WorkingCap!D12</f>
        <v/>
      </c>
      <c r="E8" s="38">
        <f>-WorkingCap!E12</f>
        <v/>
      </c>
      <c r="F8" s="38">
        <f>-WorkingCap!F12</f>
        <v/>
      </c>
      <c r="G8" s="38">
        <f>-WorkingCap!G12</f>
        <v/>
      </c>
      <c r="H8" s="38">
        <f>-WorkingCap!H12</f>
        <v/>
      </c>
      <c r="I8" s="38">
        <f>-WorkingCap!I12</f>
        <v/>
      </c>
      <c r="J8" s="38">
        <f>-WorkingCap!J12</f>
        <v/>
      </c>
      <c r="K8" s="38">
        <f>-WorkingCap!K12</f>
        <v/>
      </c>
      <c r="L8" s="38">
        <f>-WorkingCap!L12</f>
        <v/>
      </c>
    </row>
    <row r="9">
      <c r="A9" s="53" t="inlineStr">
        <is>
          <t>FREE CASH FLOW</t>
        </is>
      </c>
      <c r="B9" s="48" t="inlineStr"/>
      <c r="C9" s="54">
        <f>C7+C8</f>
        <v/>
      </c>
      <c r="D9" s="54">
        <f>D7+D8</f>
        <v/>
      </c>
      <c r="E9" s="54">
        <f>E7+E8</f>
        <v/>
      </c>
      <c r="F9" s="54">
        <f>F7+F8</f>
        <v/>
      </c>
      <c r="G9" s="54">
        <f>G7+G8</f>
        <v/>
      </c>
      <c r="H9" s="54">
        <f>H7+H8</f>
        <v/>
      </c>
      <c r="I9" s="54">
        <f>I7+I8</f>
        <v/>
      </c>
      <c r="J9" s="54">
        <f>J7+J8</f>
        <v/>
      </c>
      <c r="K9" s="54">
        <f>K7+K8</f>
        <v/>
      </c>
      <c r="L9" s="54">
        <f>L7+L8</f>
        <v/>
      </c>
    </row>
    <row r="10">
      <c r="A10" s="21" t="inlineStr">
        <is>
          <t>Cumulative free cash flow</t>
        </is>
      </c>
      <c r="B10" s="22" t="inlineStr"/>
      <c r="C10" s="55">
        <f>C9</f>
        <v/>
      </c>
      <c r="D10" s="55">
        <f>C10+D9</f>
        <v/>
      </c>
      <c r="E10" s="55">
        <f>D10+E9</f>
        <v/>
      </c>
      <c r="F10" s="55">
        <f>E10+F9</f>
        <v/>
      </c>
      <c r="G10" s="55">
        <f>F10+G9</f>
        <v/>
      </c>
      <c r="H10" s="55">
        <f>G10+H9</f>
        <v/>
      </c>
      <c r="I10" s="55">
        <f>H10+I9</f>
        <v/>
      </c>
      <c r="J10" s="55">
        <f>I10+J9</f>
        <v/>
      </c>
      <c r="K10" s="55">
        <f>J10+K9</f>
        <v/>
      </c>
      <c r="L10" s="55">
        <f>K10+L9</f>
        <v/>
      </c>
    </row>
    <row r="12">
      <c r="A12" s="21" t="inlineStr">
        <is>
          <t>Equity raised</t>
        </is>
      </c>
      <c r="B12" s="22" t="inlineStr">
        <is>
          <t>see Funding</t>
        </is>
      </c>
      <c r="C12" s="38">
        <f>Funding!C4</f>
        <v/>
      </c>
      <c r="D12" s="38">
        <f>Funding!D4</f>
        <v/>
      </c>
      <c r="E12" s="38">
        <f>Funding!E4</f>
        <v/>
      </c>
      <c r="F12" s="38">
        <f>Funding!F4</f>
        <v/>
      </c>
      <c r="G12" s="38">
        <f>Funding!G4</f>
        <v/>
      </c>
      <c r="H12" s="38">
        <f>Funding!H4</f>
        <v/>
      </c>
      <c r="I12" s="38">
        <f>Funding!I4</f>
        <v/>
      </c>
      <c r="J12" s="38">
        <f>Funding!J4</f>
        <v/>
      </c>
      <c r="K12" s="38">
        <f>Funding!K4</f>
        <v/>
      </c>
      <c r="L12" s="38">
        <f>Funding!L4</f>
        <v/>
      </c>
    </row>
    <row r="13">
      <c r="A13" s="21" t="inlineStr">
        <is>
          <t>Opening cash</t>
        </is>
      </c>
      <c r="B13" s="22" t="inlineStr"/>
      <c r="C13" s="55">
        <f>0</f>
        <v/>
      </c>
      <c r="D13" s="55">
        <f>C14</f>
        <v/>
      </c>
      <c r="E13" s="55">
        <f>D14</f>
        <v/>
      </c>
      <c r="F13" s="55">
        <f>E14</f>
        <v/>
      </c>
      <c r="G13" s="55">
        <f>F14</f>
        <v/>
      </c>
      <c r="H13" s="55">
        <f>G14</f>
        <v/>
      </c>
      <c r="I13" s="55">
        <f>H14</f>
        <v/>
      </c>
      <c r="J13" s="55">
        <f>I14</f>
        <v/>
      </c>
      <c r="K13" s="55">
        <f>J14</f>
        <v/>
      </c>
      <c r="L13" s="55">
        <f>K14</f>
        <v/>
      </c>
    </row>
    <row r="14">
      <c r="A14" s="53" t="inlineStr">
        <is>
          <t>CLOSING CASH</t>
        </is>
      </c>
      <c r="B14" s="48" t="inlineStr"/>
      <c r="C14" s="54">
        <f>C13+C9+C12</f>
        <v/>
      </c>
      <c r="D14" s="54">
        <f>D13+D9+D12</f>
        <v/>
      </c>
      <c r="E14" s="54">
        <f>E13+E9+E12</f>
        <v/>
      </c>
      <c r="F14" s="54">
        <f>F13+F9+F12</f>
        <v/>
      </c>
      <c r="G14" s="54">
        <f>G13+G9+G12</f>
        <v/>
      </c>
      <c r="H14" s="54">
        <f>H13+H9+H12</f>
        <v/>
      </c>
      <c r="I14" s="54">
        <f>I13+I9+I12</f>
        <v/>
      </c>
      <c r="J14" s="54">
        <f>J13+J9+J12</f>
        <v/>
      </c>
      <c r="K14" s="54">
        <f>K13+K9+K12</f>
        <v/>
      </c>
      <c r="L14" s="54">
        <f>L13+L9+L12</f>
        <v/>
      </c>
    </row>
  </sheetData>
  <mergeCells count="5">
    <mergeCell ref="C2:D2"/>
    <mergeCell ref="G2:H2"/>
    <mergeCell ref="E2:F2"/>
    <mergeCell ref="K2:L2"/>
    <mergeCell ref="I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Balance sheet</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ASSETS</t>
        </is>
      </c>
      <c r="B4" s="20" t="n"/>
      <c r="C4" s="20" t="n"/>
      <c r="D4" s="20" t="n"/>
      <c r="E4" s="20" t="n"/>
      <c r="F4" s="20" t="n"/>
      <c r="G4" s="20" t="n"/>
      <c r="H4" s="20" t="n"/>
      <c r="I4" s="20" t="n"/>
      <c r="J4" s="20" t="n"/>
      <c r="K4" s="20" t="n"/>
      <c r="L4" s="20" t="n"/>
    </row>
    <row r="5">
      <c r="A5" s="21" t="inlineStr">
        <is>
          <t>Cash</t>
        </is>
      </c>
      <c r="B5" s="22" t="inlineStr"/>
      <c r="C5" s="38">
        <f>CashFlow!C14</f>
        <v/>
      </c>
      <c r="D5" s="38">
        <f>CashFlow!D14</f>
        <v/>
      </c>
      <c r="E5" s="38">
        <f>CashFlow!E14</f>
        <v/>
      </c>
      <c r="F5" s="38">
        <f>CashFlow!F14</f>
        <v/>
      </c>
      <c r="G5" s="38">
        <f>CashFlow!G14</f>
        <v/>
      </c>
      <c r="H5" s="38">
        <f>CashFlow!H14</f>
        <v/>
      </c>
      <c r="I5" s="38">
        <f>CashFlow!I14</f>
        <v/>
      </c>
      <c r="J5" s="38">
        <f>CashFlow!J14</f>
        <v/>
      </c>
      <c r="K5" s="38">
        <f>CashFlow!K14</f>
        <v/>
      </c>
      <c r="L5" s="38">
        <f>CashFlow!L14</f>
        <v/>
      </c>
    </row>
    <row r="6">
      <c r="A6" s="21" t="inlineStr">
        <is>
          <t>Sponsor receivables</t>
        </is>
      </c>
      <c r="B6" s="22" t="inlineStr"/>
      <c r="C6" s="38">
        <f>WorkingCap!C5</f>
        <v/>
      </c>
      <c r="D6" s="38">
        <f>WorkingCap!D5</f>
        <v/>
      </c>
      <c r="E6" s="38">
        <f>WorkingCap!E5</f>
        <v/>
      </c>
      <c r="F6" s="38">
        <f>WorkingCap!F5</f>
        <v/>
      </c>
      <c r="G6" s="38">
        <f>WorkingCap!G5</f>
        <v/>
      </c>
      <c r="H6" s="38">
        <f>WorkingCap!H5</f>
        <v/>
      </c>
      <c r="I6" s="38">
        <f>WorkingCap!I5</f>
        <v/>
      </c>
      <c r="J6" s="38">
        <f>WorkingCap!J5</f>
        <v/>
      </c>
      <c r="K6" s="38">
        <f>WorkingCap!K5</f>
        <v/>
      </c>
      <c r="L6" s="38">
        <f>WorkingCap!L5</f>
        <v/>
      </c>
    </row>
    <row r="7">
      <c r="A7" s="21" t="inlineStr">
        <is>
          <t>Net intangible assets</t>
        </is>
      </c>
      <c r="B7" s="22" t="inlineStr"/>
      <c r="C7" s="38">
        <f>WorkingCap!C14</f>
        <v/>
      </c>
      <c r="D7" s="38">
        <f>WorkingCap!D14</f>
        <v/>
      </c>
      <c r="E7" s="38">
        <f>WorkingCap!E14</f>
        <v/>
      </c>
      <c r="F7" s="38">
        <f>WorkingCap!F14</f>
        <v/>
      </c>
      <c r="G7" s="38">
        <f>WorkingCap!G14</f>
        <v/>
      </c>
      <c r="H7" s="38">
        <f>WorkingCap!H14</f>
        <v/>
      </c>
      <c r="I7" s="38">
        <f>WorkingCap!I14</f>
        <v/>
      </c>
      <c r="J7" s="38">
        <f>WorkingCap!J14</f>
        <v/>
      </c>
      <c r="K7" s="38">
        <f>WorkingCap!K14</f>
        <v/>
      </c>
      <c r="L7" s="38">
        <f>WorkingCap!L14</f>
        <v/>
      </c>
    </row>
    <row r="8">
      <c r="A8" s="53" t="inlineStr">
        <is>
          <t>TOTAL ASSETS</t>
        </is>
      </c>
      <c r="B8" s="48" t="inlineStr"/>
      <c r="C8" s="54">
        <f>SUM(C5:C7)</f>
        <v/>
      </c>
      <c r="D8" s="54">
        <f>SUM(D5:D7)</f>
        <v/>
      </c>
      <c r="E8" s="54">
        <f>SUM(E5:E7)</f>
        <v/>
      </c>
      <c r="F8" s="54">
        <f>SUM(F5:F7)</f>
        <v/>
      </c>
      <c r="G8" s="54">
        <f>SUM(G5:G7)</f>
        <v/>
      </c>
      <c r="H8" s="54">
        <f>SUM(H5:H7)</f>
        <v/>
      </c>
      <c r="I8" s="54">
        <f>SUM(I5:I7)</f>
        <v/>
      </c>
      <c r="J8" s="54">
        <f>SUM(J5:J7)</f>
        <v/>
      </c>
      <c r="K8" s="54">
        <f>SUM(K5:K7)</f>
        <v/>
      </c>
      <c r="L8" s="54">
        <f>SUM(L5:L7)</f>
        <v/>
      </c>
    </row>
    <row r="10">
      <c r="A10" s="19" t="inlineStr">
        <is>
          <t>LIABILITIES</t>
        </is>
      </c>
      <c r="B10" s="20" t="n"/>
      <c r="C10" s="20" t="n"/>
      <c r="D10" s="20" t="n"/>
      <c r="E10" s="20" t="n"/>
      <c r="F10" s="20" t="n"/>
      <c r="G10" s="20" t="n"/>
      <c r="H10" s="20" t="n"/>
      <c r="I10" s="20" t="n"/>
      <c r="J10" s="20" t="n"/>
      <c r="K10" s="20" t="n"/>
      <c r="L10" s="20" t="n"/>
    </row>
    <row r="11">
      <c r="A11" s="21" t="inlineStr">
        <is>
          <t>Athlete payout float</t>
        </is>
      </c>
      <c r="B11" s="22" t="inlineStr"/>
      <c r="C11" s="38">
        <f>WorkingCap!C6</f>
        <v/>
      </c>
      <c r="D11" s="38">
        <f>WorkingCap!D6</f>
        <v/>
      </c>
      <c r="E11" s="38">
        <f>WorkingCap!E6</f>
        <v/>
      </c>
      <c r="F11" s="38">
        <f>WorkingCap!F6</f>
        <v/>
      </c>
      <c r="G11" s="38">
        <f>WorkingCap!G6</f>
        <v/>
      </c>
      <c r="H11" s="38">
        <f>WorkingCap!H6</f>
        <v/>
      </c>
      <c r="I11" s="38">
        <f>WorkingCap!I6</f>
        <v/>
      </c>
      <c r="J11" s="38">
        <f>WorkingCap!J6</f>
        <v/>
      </c>
      <c r="K11" s="38">
        <f>WorkingCap!K6</f>
        <v/>
      </c>
      <c r="L11" s="38">
        <f>WorkingCap!L6</f>
        <v/>
      </c>
    </row>
    <row r="12">
      <c r="A12" s="21" t="inlineStr">
        <is>
          <t>Trade payables</t>
        </is>
      </c>
      <c r="B12" s="22" t="inlineStr"/>
      <c r="C12" s="38">
        <f>WorkingCap!C7</f>
        <v/>
      </c>
      <c r="D12" s="38">
        <f>WorkingCap!D7</f>
        <v/>
      </c>
      <c r="E12" s="38">
        <f>WorkingCap!E7</f>
        <v/>
      </c>
      <c r="F12" s="38">
        <f>WorkingCap!F7</f>
        <v/>
      </c>
      <c r="G12" s="38">
        <f>WorkingCap!G7</f>
        <v/>
      </c>
      <c r="H12" s="38">
        <f>WorkingCap!H7</f>
        <v/>
      </c>
      <c r="I12" s="38">
        <f>WorkingCap!I7</f>
        <v/>
      </c>
      <c r="J12" s="38">
        <f>WorkingCap!J7</f>
        <v/>
      </c>
      <c r="K12" s="38">
        <f>WorkingCap!K7</f>
        <v/>
      </c>
      <c r="L12" s="38">
        <f>WorkingCap!L7</f>
        <v/>
      </c>
    </row>
    <row r="13">
      <c r="A13" s="53" t="inlineStr">
        <is>
          <t>TOTAL LIABILITIES</t>
        </is>
      </c>
      <c r="B13" s="48" t="inlineStr"/>
      <c r="C13" s="54">
        <f>C11+C12</f>
        <v/>
      </c>
      <c r="D13" s="54">
        <f>D11+D12</f>
        <v/>
      </c>
      <c r="E13" s="54">
        <f>E11+E12</f>
        <v/>
      </c>
      <c r="F13" s="54">
        <f>F11+F12</f>
        <v/>
      </c>
      <c r="G13" s="54">
        <f>G11+G12</f>
        <v/>
      </c>
      <c r="H13" s="54">
        <f>H11+H12</f>
        <v/>
      </c>
      <c r="I13" s="54">
        <f>I11+I12</f>
        <v/>
      </c>
      <c r="J13" s="54">
        <f>J11+J12</f>
        <v/>
      </c>
      <c r="K13" s="54">
        <f>K11+K12</f>
        <v/>
      </c>
      <c r="L13" s="54">
        <f>L11+L12</f>
        <v/>
      </c>
    </row>
    <row r="15">
      <c r="A15" s="19" t="inlineStr">
        <is>
          <t>EQUITY</t>
        </is>
      </c>
      <c r="B15" s="20" t="n"/>
      <c r="C15" s="20" t="n"/>
      <c r="D15" s="20" t="n"/>
      <c r="E15" s="20" t="n"/>
      <c r="F15" s="20" t="n"/>
      <c r="G15" s="20" t="n"/>
      <c r="H15" s="20" t="n"/>
      <c r="I15" s="20" t="n"/>
      <c r="J15" s="20" t="n"/>
      <c r="K15" s="20" t="n"/>
      <c r="L15" s="20" t="n"/>
    </row>
    <row r="16">
      <c r="A16" s="21" t="inlineStr">
        <is>
          <t>Paid-in capital</t>
        </is>
      </c>
      <c r="B16" s="22" t="inlineStr"/>
      <c r="C16" s="38">
        <f>Funding!C4</f>
        <v/>
      </c>
      <c r="D16" s="38">
        <f>C16+Funding!D4</f>
        <v/>
      </c>
      <c r="E16" s="38">
        <f>D16+Funding!E4</f>
        <v/>
      </c>
      <c r="F16" s="38">
        <f>E16+Funding!F4</f>
        <v/>
      </c>
      <c r="G16" s="38">
        <f>F16+Funding!G4</f>
        <v/>
      </c>
      <c r="H16" s="38">
        <f>G16+Funding!H4</f>
        <v/>
      </c>
      <c r="I16" s="38">
        <f>H16+Funding!I4</f>
        <v/>
      </c>
      <c r="J16" s="38">
        <f>I16+Funding!J4</f>
        <v/>
      </c>
      <c r="K16" s="38">
        <f>J16+Funding!K4</f>
        <v/>
      </c>
      <c r="L16" s="38">
        <f>K16+Funding!L4</f>
        <v/>
      </c>
    </row>
    <row r="17">
      <c r="A17" s="21" t="inlineStr">
        <is>
          <t>Retained earnings</t>
        </is>
      </c>
      <c r="B17" s="22" t="inlineStr"/>
      <c r="C17" s="38">
        <f>'P&amp;L'!C21</f>
        <v/>
      </c>
      <c r="D17" s="38">
        <f>C17+'P&amp;L'!D21</f>
        <v/>
      </c>
      <c r="E17" s="38">
        <f>D17+'P&amp;L'!E21</f>
        <v/>
      </c>
      <c r="F17" s="38">
        <f>E17+'P&amp;L'!F21</f>
        <v/>
      </c>
      <c r="G17" s="38">
        <f>F17+'P&amp;L'!G21</f>
        <v/>
      </c>
      <c r="H17" s="38">
        <f>G17+'P&amp;L'!H21</f>
        <v/>
      </c>
      <c r="I17" s="38">
        <f>H17+'P&amp;L'!I21</f>
        <v/>
      </c>
      <c r="J17" s="38">
        <f>I17+'P&amp;L'!J21</f>
        <v/>
      </c>
      <c r="K17" s="38">
        <f>J17+'P&amp;L'!K21</f>
        <v/>
      </c>
      <c r="L17" s="38">
        <f>K17+'P&amp;L'!L21</f>
        <v/>
      </c>
    </row>
    <row r="18">
      <c r="A18" s="53" t="inlineStr">
        <is>
          <t>TOTAL EQUITY</t>
        </is>
      </c>
      <c r="B18" s="48" t="inlineStr"/>
      <c r="C18" s="54">
        <f>C16+C17</f>
        <v/>
      </c>
      <c r="D18" s="54">
        <f>D16+D17</f>
        <v/>
      </c>
      <c r="E18" s="54">
        <f>E16+E17</f>
        <v/>
      </c>
      <c r="F18" s="54">
        <f>F16+F17</f>
        <v/>
      </c>
      <c r="G18" s="54">
        <f>G16+G17</f>
        <v/>
      </c>
      <c r="H18" s="54">
        <f>H16+H17</f>
        <v/>
      </c>
      <c r="I18" s="54">
        <f>I16+I17</f>
        <v/>
      </c>
      <c r="J18" s="54">
        <f>J16+J17</f>
        <v/>
      </c>
      <c r="K18" s="54">
        <f>K16+K17</f>
        <v/>
      </c>
      <c r="L18" s="54">
        <f>L16+L17</f>
        <v/>
      </c>
    </row>
    <row r="19">
      <c r="A19" s="47" t="inlineStr">
        <is>
          <t>Liabilities + equity</t>
        </is>
      </c>
      <c r="B19" s="48" t="inlineStr"/>
      <c r="C19" s="51">
        <f>C13+C18</f>
        <v/>
      </c>
      <c r="D19" s="51">
        <f>D13+D18</f>
        <v/>
      </c>
      <c r="E19" s="51">
        <f>E13+E18</f>
        <v/>
      </c>
      <c r="F19" s="51">
        <f>F13+F18</f>
        <v/>
      </c>
      <c r="G19" s="51">
        <f>G13+G18</f>
        <v/>
      </c>
      <c r="H19" s="51">
        <f>H13+H18</f>
        <v/>
      </c>
      <c r="I19" s="51">
        <f>I13+I18</f>
        <v/>
      </c>
      <c r="J19" s="51">
        <f>J13+J18</f>
        <v/>
      </c>
      <c r="K19" s="51">
        <f>K13+K18</f>
        <v/>
      </c>
      <c r="L19" s="51">
        <f>L13+L18</f>
        <v/>
      </c>
    </row>
    <row r="20">
      <c r="A20" s="53" t="inlineStr">
        <is>
          <t>BALANCE CHECK</t>
        </is>
      </c>
      <c r="B20" s="48" t="inlineStr">
        <is>
          <t>must be zero</t>
        </is>
      </c>
      <c r="C20" s="58">
        <f>ROUND(C8-C19,2)</f>
        <v/>
      </c>
      <c r="D20" s="58">
        <f>ROUND(D8-D19,2)</f>
        <v/>
      </c>
      <c r="E20" s="58">
        <f>ROUND(E8-E19,2)</f>
        <v/>
      </c>
      <c r="F20" s="58">
        <f>ROUND(F8-F19,2)</f>
        <v/>
      </c>
      <c r="G20" s="58">
        <f>ROUND(G8-G19,2)</f>
        <v/>
      </c>
      <c r="H20" s="58">
        <f>ROUND(H8-H19,2)</f>
        <v/>
      </c>
      <c r="I20" s="58">
        <f>ROUND(I8-I19,2)</f>
        <v/>
      </c>
      <c r="J20" s="58">
        <f>ROUND(J8-J19,2)</f>
        <v/>
      </c>
      <c r="K20" s="58">
        <f>ROUND(K8-K19,2)</f>
        <v/>
      </c>
      <c r="L20" s="58">
        <f>ROUND(L8-L19,2)</f>
        <v/>
      </c>
    </row>
  </sheetData>
  <mergeCells count="5">
    <mergeCell ref="C2:D2"/>
    <mergeCell ref="G2:H2"/>
    <mergeCell ref="E2:F2"/>
    <mergeCell ref="K2:L2"/>
    <mergeCell ref="I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Valuation, DCF, NPV, IRR and exit multiples</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21" t="inlineStr">
        <is>
          <t>Free cash flow</t>
        </is>
      </c>
      <c r="B4" s="22" t="inlineStr">
        <is>
          <t>EUR</t>
        </is>
      </c>
      <c r="C4" s="38">
        <f>CashFlow!C9</f>
        <v/>
      </c>
      <c r="D4" s="38">
        <f>CashFlow!D9</f>
        <v/>
      </c>
      <c r="E4" s="38">
        <f>CashFlow!E9</f>
        <v/>
      </c>
      <c r="F4" s="38">
        <f>CashFlow!F9</f>
        <v/>
      </c>
      <c r="G4" s="38">
        <f>CashFlow!G9</f>
        <v/>
      </c>
      <c r="H4" s="38">
        <f>CashFlow!H9</f>
        <v/>
      </c>
      <c r="I4" s="38">
        <f>CashFlow!I9</f>
        <v/>
      </c>
      <c r="J4" s="38">
        <f>CashFlow!J9</f>
        <v/>
      </c>
      <c r="K4" s="38">
        <f>CashFlow!K9</f>
        <v/>
      </c>
      <c r="L4" s="38">
        <f>CashFlow!L9</f>
        <v/>
      </c>
    </row>
    <row r="5">
      <c r="A5" s="21" t="inlineStr">
        <is>
          <t>Discount factor</t>
        </is>
      </c>
      <c r="B5" s="22" t="inlineStr">
        <is>
          <t>1/(1+WACC)^t</t>
        </is>
      </c>
      <c r="C5" s="41">
        <f>1/(1+Assumptions!$C$91)^1</f>
        <v/>
      </c>
      <c r="D5" s="41">
        <f>1/(1+Assumptions!$C$91)^2</f>
        <v/>
      </c>
      <c r="E5" s="41">
        <f>1/(1+Assumptions!$C$91)^3</f>
        <v/>
      </c>
      <c r="F5" s="41">
        <f>1/(1+Assumptions!$C$91)^4</f>
        <v/>
      </c>
      <c r="G5" s="41">
        <f>1/(1+Assumptions!$C$91)^5</f>
        <v/>
      </c>
      <c r="H5" s="41">
        <f>1/(1+Assumptions!$C$91)^6</f>
        <v/>
      </c>
      <c r="I5" s="41">
        <f>1/(1+Assumptions!$C$91)^7</f>
        <v/>
      </c>
      <c r="J5" s="41">
        <f>1/(1+Assumptions!$C$91)^8</f>
        <v/>
      </c>
      <c r="K5" s="41">
        <f>1/(1+Assumptions!$C$91)^9</f>
        <v/>
      </c>
      <c r="L5" s="41">
        <f>1/(1+Assumptions!$C$91)^10</f>
        <v/>
      </c>
    </row>
    <row r="6">
      <c r="A6" s="47" t="inlineStr">
        <is>
          <t>Discounted FCF</t>
        </is>
      </c>
      <c r="B6" s="48" t="inlineStr">
        <is>
          <t>EUR</t>
        </is>
      </c>
      <c r="C6" s="51">
        <f>C4*C5</f>
        <v/>
      </c>
      <c r="D6" s="51">
        <f>D4*D5</f>
        <v/>
      </c>
      <c r="E6" s="51">
        <f>E4*E5</f>
        <v/>
      </c>
      <c r="F6" s="51">
        <f>F4*F5</f>
        <v/>
      </c>
      <c r="G6" s="51">
        <f>G4*G5</f>
        <v/>
      </c>
      <c r="H6" s="51">
        <f>H4*H5</f>
        <v/>
      </c>
      <c r="I6" s="51">
        <f>I4*I5</f>
        <v/>
      </c>
      <c r="J6" s="51">
        <f>J4*J5</f>
        <v/>
      </c>
      <c r="K6" s="51">
        <f>K4*K5</f>
        <v/>
      </c>
      <c r="L6" s="51">
        <f>L4*L5</f>
        <v/>
      </c>
    </row>
    <row r="8">
      <c r="A8" s="21" t="inlineStr">
        <is>
          <t>FCF incl. terminal value</t>
        </is>
      </c>
      <c r="B8" s="22" t="inlineStr">
        <is>
          <t>for the IRR below</t>
        </is>
      </c>
      <c r="C8" s="55">
        <f>C4+IF(1=10,$C$11,0)</f>
        <v/>
      </c>
      <c r="D8" s="55">
        <f>D4+IF(2=10,$C$11,0)</f>
        <v/>
      </c>
      <c r="E8" s="55">
        <f>E4+IF(3=10,$C$11,0)</f>
        <v/>
      </c>
      <c r="F8" s="55">
        <f>F4+IF(4=10,$C$11,0)</f>
        <v/>
      </c>
      <c r="G8" s="55">
        <f>G4+IF(5=10,$C$11,0)</f>
        <v/>
      </c>
      <c r="H8" s="55">
        <f>H4+IF(6=10,$C$11,0)</f>
        <v/>
      </c>
      <c r="I8" s="55">
        <f>I4+IF(7=10,$C$11,0)</f>
        <v/>
      </c>
      <c r="J8" s="55">
        <f>J4+IF(8=10,$C$11,0)</f>
        <v/>
      </c>
      <c r="K8" s="55">
        <f>K4+IF(9=10,$C$11,0)</f>
        <v/>
      </c>
      <c r="L8" s="55">
        <f>L4+IF(10=10,$C$11,0)</f>
        <v/>
      </c>
    </row>
    <row r="9">
      <c r="A9" s="19" t="inlineStr">
        <is>
          <t>DCF</t>
        </is>
      </c>
      <c r="B9" s="20" t="n"/>
      <c r="C9" s="20" t="n"/>
      <c r="D9" s="20" t="n"/>
      <c r="E9" s="20" t="n"/>
      <c r="F9" s="20" t="n"/>
      <c r="G9" s="20" t="n"/>
      <c r="H9" s="20" t="n"/>
      <c r="I9" s="20" t="n"/>
      <c r="J9" s="20" t="n"/>
      <c r="K9" s="20" t="n"/>
      <c r="L9" s="20" t="n"/>
    </row>
    <row r="10">
      <c r="A10" s="21" t="inlineStr">
        <is>
          <t>PV of explicit forecast</t>
        </is>
      </c>
      <c r="C10" s="59">
        <f>SUM(C6:L6)</f>
        <v/>
      </c>
    </row>
    <row r="11">
      <c r="A11" s="21" t="inlineStr">
        <is>
          <t>Terminal value at Y10</t>
        </is>
      </c>
      <c r="C11" s="59">
        <f>L4*(1+Assumptions!$C$92)/(Assumptions!$C$91-Assumptions!$C$92)</f>
        <v/>
      </c>
    </row>
    <row r="12">
      <c r="A12" s="21" t="inlineStr">
        <is>
          <t>PV of terminal value</t>
        </is>
      </c>
      <c r="C12" s="59">
        <f>C11*L5</f>
        <v/>
      </c>
    </row>
    <row r="13">
      <c r="A13" s="2" t="inlineStr">
        <is>
          <t>ENTERPRISE VALUE (DCF)</t>
        </is>
      </c>
      <c r="C13" s="59">
        <f>C10+C12</f>
        <v/>
      </c>
    </row>
    <row r="15">
      <c r="A15" s="19" t="inlineStr">
        <is>
          <t>RETURN METRICS</t>
        </is>
      </c>
      <c r="B15" s="20" t="n"/>
      <c r="C15" s="20" t="n"/>
      <c r="D15" s="20" t="n"/>
      <c r="E15" s="20" t="n"/>
      <c r="F15" s="20" t="n"/>
      <c r="G15" s="20" t="n"/>
      <c r="H15" s="20" t="n"/>
      <c r="I15" s="20" t="n"/>
      <c r="J15" s="20" t="n"/>
      <c r="K15" s="20" t="n"/>
      <c r="L15" s="20" t="n"/>
    </row>
    <row r="16">
      <c r="A16" s="21" t="inlineStr">
        <is>
          <t>NPV of FCF at WACC</t>
        </is>
      </c>
      <c r="C16" s="59">
        <f>NPV(Assumptions!$C$91,C4:L4)</f>
        <v/>
      </c>
    </row>
    <row r="17">
      <c r="A17" s="21" t="inlineStr">
        <is>
          <t>IRR of the plan</t>
        </is>
      </c>
      <c r="C17" s="60">
        <f>IRR(C4:L4)</f>
        <v/>
      </c>
    </row>
    <row r="18">
      <c r="A18" s="21" t="inlineStr">
        <is>
          <t>IRR incl. terminal value</t>
        </is>
      </c>
      <c r="C18" s="60">
        <f>IRR(C8:L8,0.3)</f>
        <v/>
      </c>
    </row>
    <row r="20">
      <c r="A20" s="19" t="inlineStr">
        <is>
          <t>EXIT MULTIPLE</t>
        </is>
      </c>
      <c r="B20" s="20" t="n"/>
      <c r="C20" s="20" t="n"/>
      <c r="D20" s="20" t="n"/>
      <c r="E20" s="20" t="n"/>
      <c r="F20" s="20" t="n"/>
      <c r="G20" s="20" t="n"/>
      <c r="H20" s="20" t="n"/>
      <c r="I20" s="20" t="n"/>
      <c r="J20" s="20" t="n"/>
      <c r="K20" s="20" t="n"/>
      <c r="L20" s="20" t="n"/>
    </row>
    <row r="21">
      <c r="A21" s="21" t="inlineStr">
        <is>
          <t>Y10 net revenue</t>
        </is>
      </c>
      <c r="C21" s="59">
        <f>Revenue!L26</f>
        <v/>
      </c>
    </row>
    <row r="22">
      <c r="A22" s="21" t="inlineStr">
        <is>
          <t>Exit value at Y10</t>
        </is>
      </c>
      <c r="C22" s="59">
        <f>C21*Assumptions!$C$93</f>
        <v/>
      </c>
    </row>
    <row r="23">
      <c r="A23" s="21" t="inlineStr">
        <is>
          <t>Discounted to today</t>
        </is>
      </c>
      <c r="C23" s="59">
        <f>C22*L5</f>
        <v/>
      </c>
    </row>
    <row r="25">
      <c r="A25" s="19" t="inlineStr">
        <is>
          <t>SENSITIVITY: enterprise value by WACC and terminal growth</t>
        </is>
      </c>
      <c r="B25" s="20" t="n"/>
      <c r="C25" s="20" t="n"/>
      <c r="D25" s="20" t="n"/>
      <c r="E25" s="20" t="n"/>
      <c r="F25" s="20" t="n"/>
      <c r="G25" s="20" t="n"/>
      <c r="H25" s="20" t="n"/>
      <c r="I25" s="20" t="n"/>
      <c r="J25" s="20" t="n"/>
      <c r="K25" s="20" t="n"/>
      <c r="L25" s="20" t="n"/>
    </row>
    <row r="26">
      <c r="A26" s="2" t="inlineStr">
        <is>
          <t>Terminal growth \ WACC</t>
        </is>
      </c>
      <c r="C26" s="61" t="n">
        <v>0.18</v>
      </c>
      <c r="D26" s="61" t="n">
        <v>0.2</v>
      </c>
      <c r="E26" s="61" t="n">
        <v>0.22</v>
      </c>
      <c r="F26" s="61" t="n">
        <v>0.25</v>
      </c>
      <c r="G26" s="61" t="n">
        <v>0.28</v>
      </c>
      <c r="H26" s="61" t="n">
        <v>0.3</v>
      </c>
    </row>
    <row r="27">
      <c r="A27" s="60" t="n">
        <v>0.01</v>
      </c>
      <c r="C27" s="62">
        <f>CashFlow!C9/(1+0.18)^1+CashFlow!D9/(1+0.18)^2+CashFlow!E9/(1+0.18)^3+CashFlow!F9/(1+0.18)^4+CashFlow!G9/(1+0.18)^5+CashFlow!H9/(1+0.18)^6+CashFlow!I9/(1+0.18)^7+CashFlow!J9/(1+0.18)^8+CashFlow!K9/(1+0.18)^9+CashFlow!L9/(1+0.18)^10+CashFlow!L9*(1+0.01)/(0.18-0.01)/(1+0.18)^10</f>
        <v/>
      </c>
      <c r="D27" s="62">
        <f>CashFlow!C9/(1+0.2)^1+CashFlow!D9/(1+0.2)^2+CashFlow!E9/(1+0.2)^3+CashFlow!F9/(1+0.2)^4+CashFlow!G9/(1+0.2)^5+CashFlow!H9/(1+0.2)^6+CashFlow!I9/(1+0.2)^7+CashFlow!J9/(1+0.2)^8+CashFlow!K9/(1+0.2)^9+CashFlow!L9/(1+0.2)^10+CashFlow!L9*(1+0.01)/(0.2-0.01)/(1+0.2)^10</f>
        <v/>
      </c>
      <c r="E27" s="62">
        <f>CashFlow!C9/(1+0.22)^1+CashFlow!D9/(1+0.22)^2+CashFlow!E9/(1+0.22)^3+CashFlow!F9/(1+0.22)^4+CashFlow!G9/(1+0.22)^5+CashFlow!H9/(1+0.22)^6+CashFlow!I9/(1+0.22)^7+CashFlow!J9/(1+0.22)^8+CashFlow!K9/(1+0.22)^9+CashFlow!L9/(1+0.22)^10+CashFlow!L9*(1+0.01)/(0.22-0.01)/(1+0.22)^10</f>
        <v/>
      </c>
      <c r="F27" s="62">
        <f>CashFlow!C9/(1+0.25)^1+CashFlow!D9/(1+0.25)^2+CashFlow!E9/(1+0.25)^3+CashFlow!F9/(1+0.25)^4+CashFlow!G9/(1+0.25)^5+CashFlow!H9/(1+0.25)^6+CashFlow!I9/(1+0.25)^7+CashFlow!J9/(1+0.25)^8+CashFlow!K9/(1+0.25)^9+CashFlow!L9/(1+0.25)^10+CashFlow!L9*(1+0.01)/(0.25-0.01)/(1+0.25)^10</f>
        <v/>
      </c>
      <c r="G27" s="62">
        <f>CashFlow!C9/(1+0.28)^1+CashFlow!D9/(1+0.28)^2+CashFlow!E9/(1+0.28)^3+CashFlow!F9/(1+0.28)^4+CashFlow!G9/(1+0.28)^5+CashFlow!H9/(1+0.28)^6+CashFlow!I9/(1+0.28)^7+CashFlow!J9/(1+0.28)^8+CashFlow!K9/(1+0.28)^9+CashFlow!L9/(1+0.28)^10+CashFlow!L9*(1+0.01)/(0.28-0.01)/(1+0.28)^10</f>
        <v/>
      </c>
      <c r="H27" s="62">
        <f>CashFlow!C9/(1+0.3)^1+CashFlow!D9/(1+0.3)^2+CashFlow!E9/(1+0.3)^3+CashFlow!F9/(1+0.3)^4+CashFlow!G9/(1+0.3)^5+CashFlow!H9/(1+0.3)^6+CashFlow!I9/(1+0.3)^7+CashFlow!J9/(1+0.3)^8+CashFlow!K9/(1+0.3)^9+CashFlow!L9/(1+0.3)^10+CashFlow!L9*(1+0.01)/(0.3-0.01)/(1+0.3)^10</f>
        <v/>
      </c>
    </row>
    <row r="28">
      <c r="A28" s="60" t="n">
        <v>0.02</v>
      </c>
      <c r="C28" s="62">
        <f>CashFlow!C9/(1+0.18)^1+CashFlow!D9/(1+0.18)^2+CashFlow!E9/(1+0.18)^3+CashFlow!F9/(1+0.18)^4+CashFlow!G9/(1+0.18)^5+CashFlow!H9/(1+0.18)^6+CashFlow!I9/(1+0.18)^7+CashFlow!J9/(1+0.18)^8+CashFlow!K9/(1+0.18)^9+CashFlow!L9/(1+0.18)^10+CashFlow!L9*(1+0.02)/(0.18-0.02)/(1+0.18)^10</f>
        <v/>
      </c>
      <c r="D28" s="62">
        <f>CashFlow!C9/(1+0.2)^1+CashFlow!D9/(1+0.2)^2+CashFlow!E9/(1+0.2)^3+CashFlow!F9/(1+0.2)^4+CashFlow!G9/(1+0.2)^5+CashFlow!H9/(1+0.2)^6+CashFlow!I9/(1+0.2)^7+CashFlow!J9/(1+0.2)^8+CashFlow!K9/(1+0.2)^9+CashFlow!L9/(1+0.2)^10+CashFlow!L9*(1+0.02)/(0.2-0.02)/(1+0.2)^10</f>
        <v/>
      </c>
      <c r="E28" s="62">
        <f>CashFlow!C9/(1+0.22)^1+CashFlow!D9/(1+0.22)^2+CashFlow!E9/(1+0.22)^3+CashFlow!F9/(1+0.22)^4+CashFlow!G9/(1+0.22)^5+CashFlow!H9/(1+0.22)^6+CashFlow!I9/(1+0.22)^7+CashFlow!J9/(1+0.22)^8+CashFlow!K9/(1+0.22)^9+CashFlow!L9/(1+0.22)^10+CashFlow!L9*(1+0.02)/(0.22-0.02)/(1+0.22)^10</f>
        <v/>
      </c>
      <c r="F28" s="62">
        <f>CashFlow!C9/(1+0.25)^1+CashFlow!D9/(1+0.25)^2+CashFlow!E9/(1+0.25)^3+CashFlow!F9/(1+0.25)^4+CashFlow!G9/(1+0.25)^5+CashFlow!H9/(1+0.25)^6+CashFlow!I9/(1+0.25)^7+CashFlow!J9/(1+0.25)^8+CashFlow!K9/(1+0.25)^9+CashFlow!L9/(1+0.25)^10+CashFlow!L9*(1+0.02)/(0.25-0.02)/(1+0.25)^10</f>
        <v/>
      </c>
      <c r="G28" s="62">
        <f>CashFlow!C9/(1+0.28)^1+CashFlow!D9/(1+0.28)^2+CashFlow!E9/(1+0.28)^3+CashFlow!F9/(1+0.28)^4+CashFlow!G9/(1+0.28)^5+CashFlow!H9/(1+0.28)^6+CashFlow!I9/(1+0.28)^7+CashFlow!J9/(1+0.28)^8+CashFlow!K9/(1+0.28)^9+CashFlow!L9/(1+0.28)^10+CashFlow!L9*(1+0.02)/(0.28-0.02)/(1+0.28)^10</f>
        <v/>
      </c>
      <c r="H28" s="62">
        <f>CashFlow!C9/(1+0.3)^1+CashFlow!D9/(1+0.3)^2+CashFlow!E9/(1+0.3)^3+CashFlow!F9/(1+0.3)^4+CashFlow!G9/(1+0.3)^5+CashFlow!H9/(1+0.3)^6+CashFlow!I9/(1+0.3)^7+CashFlow!J9/(1+0.3)^8+CashFlow!K9/(1+0.3)^9+CashFlow!L9/(1+0.3)^10+CashFlow!L9*(1+0.02)/(0.3-0.02)/(1+0.3)^10</f>
        <v/>
      </c>
    </row>
    <row r="29">
      <c r="A29" s="60" t="n">
        <v>0.03</v>
      </c>
      <c r="C29" s="62">
        <f>CashFlow!C9/(1+0.18)^1+CashFlow!D9/(1+0.18)^2+CashFlow!E9/(1+0.18)^3+CashFlow!F9/(1+0.18)^4+CashFlow!G9/(1+0.18)^5+CashFlow!H9/(1+0.18)^6+CashFlow!I9/(1+0.18)^7+CashFlow!J9/(1+0.18)^8+CashFlow!K9/(1+0.18)^9+CashFlow!L9/(1+0.18)^10+CashFlow!L9*(1+0.03)/(0.18-0.03)/(1+0.18)^10</f>
        <v/>
      </c>
      <c r="D29" s="62">
        <f>CashFlow!C9/(1+0.2)^1+CashFlow!D9/(1+0.2)^2+CashFlow!E9/(1+0.2)^3+CashFlow!F9/(1+0.2)^4+CashFlow!G9/(1+0.2)^5+CashFlow!H9/(1+0.2)^6+CashFlow!I9/(1+0.2)^7+CashFlow!J9/(1+0.2)^8+CashFlow!K9/(1+0.2)^9+CashFlow!L9/(1+0.2)^10+CashFlow!L9*(1+0.03)/(0.2-0.03)/(1+0.2)^10</f>
        <v/>
      </c>
      <c r="E29" s="62">
        <f>CashFlow!C9/(1+0.22)^1+CashFlow!D9/(1+0.22)^2+CashFlow!E9/(1+0.22)^3+CashFlow!F9/(1+0.22)^4+CashFlow!G9/(1+0.22)^5+CashFlow!H9/(1+0.22)^6+CashFlow!I9/(1+0.22)^7+CashFlow!J9/(1+0.22)^8+CashFlow!K9/(1+0.22)^9+CashFlow!L9/(1+0.22)^10+CashFlow!L9*(1+0.03)/(0.22-0.03)/(1+0.22)^10</f>
        <v/>
      </c>
      <c r="F29" s="62">
        <f>CashFlow!C9/(1+0.25)^1+CashFlow!D9/(1+0.25)^2+CashFlow!E9/(1+0.25)^3+CashFlow!F9/(1+0.25)^4+CashFlow!G9/(1+0.25)^5+CashFlow!H9/(1+0.25)^6+CashFlow!I9/(1+0.25)^7+CashFlow!J9/(1+0.25)^8+CashFlow!K9/(1+0.25)^9+CashFlow!L9/(1+0.25)^10+CashFlow!L9*(1+0.03)/(0.25-0.03)/(1+0.25)^10</f>
        <v/>
      </c>
      <c r="G29" s="62">
        <f>CashFlow!C9/(1+0.28)^1+CashFlow!D9/(1+0.28)^2+CashFlow!E9/(1+0.28)^3+CashFlow!F9/(1+0.28)^4+CashFlow!G9/(1+0.28)^5+CashFlow!H9/(1+0.28)^6+CashFlow!I9/(1+0.28)^7+CashFlow!J9/(1+0.28)^8+CashFlow!K9/(1+0.28)^9+CashFlow!L9/(1+0.28)^10+CashFlow!L9*(1+0.03)/(0.28-0.03)/(1+0.28)^10</f>
        <v/>
      </c>
      <c r="H29" s="62">
        <f>CashFlow!C9/(1+0.3)^1+CashFlow!D9/(1+0.3)^2+CashFlow!E9/(1+0.3)^3+CashFlow!F9/(1+0.3)^4+CashFlow!G9/(1+0.3)^5+CashFlow!H9/(1+0.3)^6+CashFlow!I9/(1+0.3)^7+CashFlow!J9/(1+0.3)^8+CashFlow!K9/(1+0.3)^9+CashFlow!L9/(1+0.3)^10+CashFlow!L9*(1+0.03)/(0.3-0.03)/(1+0.3)^10</f>
        <v/>
      </c>
    </row>
    <row r="30">
      <c r="A30" s="60" t="n">
        <v>0.04</v>
      </c>
      <c r="C30" s="62">
        <f>CashFlow!C9/(1+0.18)^1+CashFlow!D9/(1+0.18)^2+CashFlow!E9/(1+0.18)^3+CashFlow!F9/(1+0.18)^4+CashFlow!G9/(1+0.18)^5+CashFlow!H9/(1+0.18)^6+CashFlow!I9/(1+0.18)^7+CashFlow!J9/(1+0.18)^8+CashFlow!K9/(1+0.18)^9+CashFlow!L9/(1+0.18)^10+CashFlow!L9*(1+0.04)/(0.18-0.04)/(1+0.18)^10</f>
        <v/>
      </c>
      <c r="D30" s="62">
        <f>CashFlow!C9/(1+0.2)^1+CashFlow!D9/(1+0.2)^2+CashFlow!E9/(1+0.2)^3+CashFlow!F9/(1+0.2)^4+CashFlow!G9/(1+0.2)^5+CashFlow!H9/(1+0.2)^6+CashFlow!I9/(1+0.2)^7+CashFlow!J9/(1+0.2)^8+CashFlow!K9/(1+0.2)^9+CashFlow!L9/(1+0.2)^10+CashFlow!L9*(1+0.04)/(0.2-0.04)/(1+0.2)^10</f>
        <v/>
      </c>
      <c r="E30" s="62">
        <f>CashFlow!C9/(1+0.22)^1+CashFlow!D9/(1+0.22)^2+CashFlow!E9/(1+0.22)^3+CashFlow!F9/(1+0.22)^4+CashFlow!G9/(1+0.22)^5+CashFlow!H9/(1+0.22)^6+CashFlow!I9/(1+0.22)^7+CashFlow!J9/(1+0.22)^8+CashFlow!K9/(1+0.22)^9+CashFlow!L9/(1+0.22)^10+CashFlow!L9*(1+0.04)/(0.22-0.04)/(1+0.22)^10</f>
        <v/>
      </c>
      <c r="F30" s="62">
        <f>CashFlow!C9/(1+0.25)^1+CashFlow!D9/(1+0.25)^2+CashFlow!E9/(1+0.25)^3+CashFlow!F9/(1+0.25)^4+CashFlow!G9/(1+0.25)^5+CashFlow!H9/(1+0.25)^6+CashFlow!I9/(1+0.25)^7+CashFlow!J9/(1+0.25)^8+CashFlow!K9/(1+0.25)^9+CashFlow!L9/(1+0.25)^10+CashFlow!L9*(1+0.04)/(0.25-0.04)/(1+0.25)^10</f>
        <v/>
      </c>
      <c r="G30" s="62">
        <f>CashFlow!C9/(1+0.28)^1+CashFlow!D9/(1+0.28)^2+CashFlow!E9/(1+0.28)^3+CashFlow!F9/(1+0.28)^4+CashFlow!G9/(1+0.28)^5+CashFlow!H9/(1+0.28)^6+CashFlow!I9/(1+0.28)^7+CashFlow!J9/(1+0.28)^8+CashFlow!K9/(1+0.28)^9+CashFlow!L9/(1+0.28)^10+CashFlow!L9*(1+0.04)/(0.28-0.04)/(1+0.28)^10</f>
        <v/>
      </c>
      <c r="H30" s="62">
        <f>CashFlow!C9/(1+0.3)^1+CashFlow!D9/(1+0.3)^2+CashFlow!E9/(1+0.3)^3+CashFlow!F9/(1+0.3)^4+CashFlow!G9/(1+0.3)^5+CashFlow!H9/(1+0.3)^6+CashFlow!I9/(1+0.3)^7+CashFlow!J9/(1+0.3)^8+CashFlow!K9/(1+0.3)^9+CashFlow!L9/(1+0.3)^10+CashFlow!L9*(1+0.04)/(0.3-0.04)/(1+0.3)^10</f>
        <v/>
      </c>
    </row>
    <row r="31">
      <c r="A31" s="60" t="n">
        <v>0.05</v>
      </c>
      <c r="C31" s="62">
        <f>CashFlow!C9/(1+0.18)^1+CashFlow!D9/(1+0.18)^2+CashFlow!E9/(1+0.18)^3+CashFlow!F9/(1+0.18)^4+CashFlow!G9/(1+0.18)^5+CashFlow!H9/(1+0.18)^6+CashFlow!I9/(1+0.18)^7+CashFlow!J9/(1+0.18)^8+CashFlow!K9/(1+0.18)^9+CashFlow!L9/(1+0.18)^10+CashFlow!L9*(1+0.05)/(0.18-0.05)/(1+0.18)^10</f>
        <v/>
      </c>
      <c r="D31" s="62">
        <f>CashFlow!C9/(1+0.2)^1+CashFlow!D9/(1+0.2)^2+CashFlow!E9/(1+0.2)^3+CashFlow!F9/(1+0.2)^4+CashFlow!G9/(1+0.2)^5+CashFlow!H9/(1+0.2)^6+CashFlow!I9/(1+0.2)^7+CashFlow!J9/(1+0.2)^8+CashFlow!K9/(1+0.2)^9+CashFlow!L9/(1+0.2)^10+CashFlow!L9*(1+0.05)/(0.2-0.05)/(1+0.2)^10</f>
        <v/>
      </c>
      <c r="E31" s="62">
        <f>CashFlow!C9/(1+0.22)^1+CashFlow!D9/(1+0.22)^2+CashFlow!E9/(1+0.22)^3+CashFlow!F9/(1+0.22)^4+CashFlow!G9/(1+0.22)^5+CashFlow!H9/(1+0.22)^6+CashFlow!I9/(1+0.22)^7+CashFlow!J9/(1+0.22)^8+CashFlow!K9/(1+0.22)^9+CashFlow!L9/(1+0.22)^10+CashFlow!L9*(1+0.05)/(0.22-0.05)/(1+0.22)^10</f>
        <v/>
      </c>
      <c r="F31" s="62">
        <f>CashFlow!C9/(1+0.25)^1+CashFlow!D9/(1+0.25)^2+CashFlow!E9/(1+0.25)^3+CashFlow!F9/(1+0.25)^4+CashFlow!G9/(1+0.25)^5+CashFlow!H9/(1+0.25)^6+CashFlow!I9/(1+0.25)^7+CashFlow!J9/(1+0.25)^8+CashFlow!K9/(1+0.25)^9+CashFlow!L9/(1+0.25)^10+CashFlow!L9*(1+0.05)/(0.25-0.05)/(1+0.25)^10</f>
        <v/>
      </c>
      <c r="G31" s="62">
        <f>CashFlow!C9/(1+0.28)^1+CashFlow!D9/(1+0.28)^2+CashFlow!E9/(1+0.28)^3+CashFlow!F9/(1+0.28)^4+CashFlow!G9/(1+0.28)^5+CashFlow!H9/(1+0.28)^6+CashFlow!I9/(1+0.28)^7+CashFlow!J9/(1+0.28)^8+CashFlow!K9/(1+0.28)^9+CashFlow!L9/(1+0.28)^10+CashFlow!L9*(1+0.05)/(0.28-0.05)/(1+0.28)^10</f>
        <v/>
      </c>
      <c r="H31" s="62">
        <f>CashFlow!C9/(1+0.3)^1+CashFlow!D9/(1+0.3)^2+CashFlow!E9/(1+0.3)^3+CashFlow!F9/(1+0.3)^4+CashFlow!G9/(1+0.3)^5+CashFlow!H9/(1+0.3)^6+CashFlow!I9/(1+0.3)^7+CashFlow!J9/(1+0.3)^8+CashFlow!K9/(1+0.3)^9+CashFlow!L9/(1+0.3)^10+CashFlow!L9*(1+0.05)/(0.3-0.05)/(1+0.3)^10</f>
        <v/>
      </c>
    </row>
  </sheetData>
  <mergeCells count="5">
    <mergeCell ref="C2:D2"/>
    <mergeCell ref="G2:H2"/>
    <mergeCell ref="E2:F2"/>
    <mergeCell ref="K2:L2"/>
    <mergeCell ref="I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Funding rounds and dilution</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21" t="inlineStr">
        <is>
          <t>Equity raised</t>
        </is>
      </c>
      <c r="B4" s="22" t="inlineStr">
        <is>
          <t>EUR</t>
        </is>
      </c>
      <c r="C4" s="30" t="n">
        <v>600000</v>
      </c>
      <c r="D4" s="30" t="n">
        <v>0</v>
      </c>
      <c r="E4" s="30" t="n">
        <v>0</v>
      </c>
      <c r="F4" s="30" t="n">
        <v>2000000</v>
      </c>
      <c r="G4" s="30" t="n">
        <v>0</v>
      </c>
      <c r="H4" s="30" t="n">
        <v>8000000</v>
      </c>
      <c r="I4" s="30" t="n">
        <v>0</v>
      </c>
      <c r="J4" s="30" t="n">
        <v>0</v>
      </c>
      <c r="K4" s="30" t="n">
        <v>0</v>
      </c>
      <c r="L4" s="30" t="n">
        <v>0</v>
      </c>
    </row>
    <row r="5">
      <c r="A5" s="21" t="inlineStr">
        <is>
          <t>Pre-money valuation</t>
        </is>
      </c>
      <c r="B5" s="22" t="inlineStr">
        <is>
          <t>EUR</t>
        </is>
      </c>
      <c r="C5" s="30" t="n">
        <v>2500000</v>
      </c>
      <c r="D5" s="30" t="n">
        <v>0</v>
      </c>
      <c r="E5" s="30" t="n">
        <v>0</v>
      </c>
      <c r="F5" s="30" t="n">
        <v>10000000</v>
      </c>
      <c r="G5" s="30" t="n">
        <v>0</v>
      </c>
      <c r="H5" s="30" t="n">
        <v>40000000</v>
      </c>
      <c r="I5" s="30" t="n">
        <v>0</v>
      </c>
      <c r="J5" s="30" t="n">
        <v>0</v>
      </c>
      <c r="K5" s="30" t="n">
        <v>0</v>
      </c>
      <c r="L5" s="30" t="n">
        <v>0</v>
      </c>
    </row>
    <row r="6">
      <c r="A6" s="21" t="inlineStr">
        <is>
          <t>Post-money valuation</t>
        </is>
      </c>
      <c r="B6" s="22" t="inlineStr">
        <is>
          <t>EUR</t>
        </is>
      </c>
      <c r="C6" s="55">
        <f>IF(C4=0,0,C5+C4)</f>
        <v/>
      </c>
      <c r="D6" s="55">
        <f>IF(D4=0,0,D5+D4)</f>
        <v/>
      </c>
      <c r="E6" s="55">
        <f>IF(E4=0,0,E5+E4)</f>
        <v/>
      </c>
      <c r="F6" s="55">
        <f>IF(F4=0,0,F5+F4)</f>
        <v/>
      </c>
      <c r="G6" s="55">
        <f>IF(G4=0,0,G5+G4)</f>
        <v/>
      </c>
      <c r="H6" s="55">
        <f>IF(H4=0,0,H5+H4)</f>
        <v/>
      </c>
      <c r="I6" s="55">
        <f>IF(I4=0,0,I5+I4)</f>
        <v/>
      </c>
      <c r="J6" s="55">
        <f>IF(J4=0,0,J5+J4)</f>
        <v/>
      </c>
      <c r="K6" s="55">
        <f>IF(K4=0,0,K5+K4)</f>
        <v/>
      </c>
      <c r="L6" s="55">
        <f>IF(L4=0,0,L5+L4)</f>
        <v/>
      </c>
    </row>
    <row r="7">
      <c r="A7" s="21" t="inlineStr">
        <is>
          <t>New investor stake</t>
        </is>
      </c>
      <c r="B7" s="22" t="inlineStr">
        <is>
          <t>%</t>
        </is>
      </c>
      <c r="C7" s="56">
        <f>IF(C6=0,0,C4/C6)</f>
        <v/>
      </c>
      <c r="D7" s="56">
        <f>IF(D6=0,0,D4/D6)</f>
        <v/>
      </c>
      <c r="E7" s="56">
        <f>IF(E6=0,0,E4/E6)</f>
        <v/>
      </c>
      <c r="F7" s="56">
        <f>IF(F6=0,0,F4/F6)</f>
        <v/>
      </c>
      <c r="G7" s="56">
        <f>IF(G6=0,0,G4/G6)</f>
        <v/>
      </c>
      <c r="H7" s="56">
        <f>IF(H6=0,0,H4/H6)</f>
        <v/>
      </c>
      <c r="I7" s="56">
        <f>IF(I6=0,0,I4/I6)</f>
        <v/>
      </c>
      <c r="J7" s="56">
        <f>IF(J6=0,0,J4/J6)</f>
        <v/>
      </c>
      <c r="K7" s="56">
        <f>IF(K6=0,0,K4/K6)</f>
        <v/>
      </c>
      <c r="L7" s="56">
        <f>IF(L6=0,0,L4/L6)</f>
        <v/>
      </c>
    </row>
    <row r="8">
      <c r="A8" s="21" t="inlineStr">
        <is>
          <t>Advisory grant</t>
        </is>
      </c>
      <c r="B8" s="22" t="inlineStr">
        <is>
          <t>%</t>
        </is>
      </c>
      <c r="C8" s="24" t="n">
        <v>0.02</v>
      </c>
      <c r="D8" s="24" t="n">
        <v>0</v>
      </c>
      <c r="E8" s="24" t="n">
        <v>0</v>
      </c>
      <c r="F8" s="24" t="n">
        <v>0</v>
      </c>
      <c r="G8" s="24" t="n">
        <v>0</v>
      </c>
      <c r="H8" s="24" t="n">
        <v>0</v>
      </c>
      <c r="I8" s="24" t="n">
        <v>0</v>
      </c>
      <c r="J8" s="24" t="n">
        <v>0</v>
      </c>
      <c r="K8" s="24" t="n">
        <v>0</v>
      </c>
      <c r="L8" s="24" t="n">
        <v>0</v>
      </c>
    </row>
    <row r="9">
      <c r="A9" s="21" t="inlineStr">
        <is>
          <t>ESOP pool</t>
        </is>
      </c>
      <c r="B9" s="22" t="inlineStr">
        <is>
          <t>%</t>
        </is>
      </c>
      <c r="C9" s="24" t="n">
        <v>0</v>
      </c>
      <c r="D9" s="24" t="n">
        <v>0</v>
      </c>
      <c r="E9" s="24" t="n">
        <v>0</v>
      </c>
      <c r="F9" s="24" t="n">
        <v>0</v>
      </c>
      <c r="G9" s="24" t="n">
        <v>0</v>
      </c>
      <c r="H9" s="24" t="n">
        <v>0.1</v>
      </c>
      <c r="I9" s="24" t="n">
        <v>0</v>
      </c>
      <c r="J9" s="24" t="n">
        <v>0</v>
      </c>
      <c r="K9" s="24" t="n">
        <v>0</v>
      </c>
      <c r="L9" s="24" t="n">
        <v>0</v>
      </c>
    </row>
    <row r="10">
      <c r="A10" s="47" t="inlineStr">
        <is>
          <t>Founders + team retained</t>
        </is>
      </c>
      <c r="B10" s="48" t="inlineStr">
        <is>
          <t>%</t>
        </is>
      </c>
      <c r="C10" s="63">
        <f>(1-C7-C8)*(1-C9)</f>
        <v/>
      </c>
      <c r="D10" s="63">
        <f>(C10*(1-D7)-D8)*(1-D9)</f>
        <v/>
      </c>
      <c r="E10" s="63">
        <f>(D10*(1-E7)-E8)*(1-E9)</f>
        <v/>
      </c>
      <c r="F10" s="63">
        <f>(E10*(1-F7)-F8)*(1-F9)</f>
        <v/>
      </c>
      <c r="G10" s="63">
        <f>(F10*(1-G7)-G8)*(1-G9)</f>
        <v/>
      </c>
      <c r="H10" s="63">
        <f>(G10*(1-H7)-H8)*(1-H9)</f>
        <v/>
      </c>
      <c r="I10" s="63">
        <f>(H10*(1-I7)-I8)*(1-I9)</f>
        <v/>
      </c>
      <c r="J10" s="63">
        <f>(I10*(1-J7)-J8)*(1-J9)</f>
        <v/>
      </c>
      <c r="K10" s="63">
        <f>(J10*(1-K7)-K8)*(1-K9)</f>
        <v/>
      </c>
      <c r="L10" s="63">
        <f>(K10*(1-L7)-L8)*(1-L9)</f>
        <v/>
      </c>
    </row>
    <row r="11">
      <c r="A11" s="21" t="inlineStr">
        <is>
          <t>Cumulative dilution</t>
        </is>
      </c>
      <c r="B11" s="22" t="inlineStr">
        <is>
          <t>%</t>
        </is>
      </c>
      <c r="C11" s="56">
        <f>1-C10</f>
        <v/>
      </c>
      <c r="D11" s="56">
        <f>1-D10</f>
        <v/>
      </c>
      <c r="E11" s="56">
        <f>1-E10</f>
        <v/>
      </c>
      <c r="F11" s="56">
        <f>1-F10</f>
        <v/>
      </c>
      <c r="G11" s="56">
        <f>1-G10</f>
        <v/>
      </c>
      <c r="H11" s="56">
        <f>1-H10</f>
        <v/>
      </c>
      <c r="I11" s="56">
        <f>1-I10</f>
        <v/>
      </c>
      <c r="J11" s="56">
        <f>1-J10</f>
        <v/>
      </c>
      <c r="K11" s="56">
        <f>1-K10</f>
        <v/>
      </c>
      <c r="L11" s="56">
        <f>1-L10</f>
        <v/>
      </c>
    </row>
  </sheetData>
  <mergeCells count="5">
    <mergeCell ref="C2:D2"/>
    <mergeCell ref="G2:H2"/>
    <mergeCell ref="E2:F2"/>
    <mergeCell ref="K2:L2"/>
    <mergeCell ref="I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Hiring plan, headcount by role, reconciled to the model</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FTE BY ROLE</t>
        </is>
      </c>
      <c r="B4" s="20" t="n"/>
      <c r="C4" s="20" t="n"/>
      <c r="D4" s="20" t="n"/>
      <c r="E4" s="20" t="n"/>
      <c r="F4" s="20" t="n"/>
      <c r="G4" s="20" t="n"/>
      <c r="H4" s="20" t="n"/>
      <c r="I4" s="20" t="n"/>
      <c r="J4" s="20" t="n"/>
      <c r="K4" s="20" t="n"/>
      <c r="L4" s="20" t="n"/>
    </row>
    <row r="5">
      <c r="A5" s="21" t="inlineStr">
        <is>
          <t>Founder / CEO</t>
        </is>
      </c>
      <c r="B5" s="22" t="inlineStr">
        <is>
          <t>FTE</t>
        </is>
      </c>
      <c r="C5" s="29" t="n">
        <v>1</v>
      </c>
      <c r="D5" s="29" t="n">
        <v>1</v>
      </c>
      <c r="E5" s="29" t="n">
        <v>1</v>
      </c>
      <c r="F5" s="29" t="n">
        <v>1</v>
      </c>
      <c r="G5" s="29" t="n">
        <v>1</v>
      </c>
      <c r="H5" s="29" t="n">
        <v>1</v>
      </c>
      <c r="I5" s="29" t="n">
        <v>1</v>
      </c>
      <c r="J5" s="29" t="n">
        <v>1</v>
      </c>
      <c r="K5" s="29" t="n">
        <v>1</v>
      </c>
      <c r="L5" s="29" t="n">
        <v>1</v>
      </c>
    </row>
    <row r="6">
      <c r="A6" s="21" t="inlineStr">
        <is>
          <t>Engineering</t>
        </is>
      </c>
      <c r="B6" s="22" t="inlineStr">
        <is>
          <t>FTE</t>
        </is>
      </c>
      <c r="C6" s="29" t="n">
        <v>0.5</v>
      </c>
      <c r="D6" s="29" t="n">
        <v>1</v>
      </c>
      <c r="E6" s="29" t="n">
        <v>1.5</v>
      </c>
      <c r="F6" s="29" t="n">
        <v>2</v>
      </c>
      <c r="G6" s="29" t="n">
        <v>3.5</v>
      </c>
      <c r="H6" s="29" t="n">
        <v>5</v>
      </c>
      <c r="I6" s="29" t="n">
        <v>7</v>
      </c>
      <c r="J6" s="29" t="n">
        <v>9</v>
      </c>
      <c r="K6" s="29" t="n">
        <v>11</v>
      </c>
      <c r="L6" s="29" t="n">
        <v>13</v>
      </c>
    </row>
    <row r="7">
      <c r="A7" s="21" t="inlineStr">
        <is>
          <t>BD / partnerships</t>
        </is>
      </c>
      <c r="B7" s="22" t="inlineStr">
        <is>
          <t>FTE</t>
        </is>
      </c>
      <c r="C7" s="29" t="n">
        <v>0</v>
      </c>
      <c r="D7" s="29" t="n">
        <v>0</v>
      </c>
      <c r="E7" s="29" t="n">
        <v>0.5</v>
      </c>
      <c r="F7" s="29" t="n">
        <v>1</v>
      </c>
      <c r="G7" s="29" t="n">
        <v>2</v>
      </c>
      <c r="H7" s="29" t="n">
        <v>3</v>
      </c>
      <c r="I7" s="29" t="n">
        <v>5</v>
      </c>
      <c r="J7" s="29" t="n">
        <v>6</v>
      </c>
      <c r="K7" s="29" t="n">
        <v>7</v>
      </c>
      <c r="L7" s="29" t="n">
        <v>8</v>
      </c>
    </row>
    <row r="8">
      <c r="A8" s="21" t="inlineStr">
        <is>
          <t>Athlete success</t>
        </is>
      </c>
      <c r="B8" s="22" t="inlineStr">
        <is>
          <t>FTE</t>
        </is>
      </c>
      <c r="C8" s="29" t="n">
        <v>0</v>
      </c>
      <c r="D8" s="29" t="n">
        <v>0</v>
      </c>
      <c r="E8" s="29" t="n">
        <v>0.5</v>
      </c>
      <c r="F8" s="29" t="n">
        <v>1</v>
      </c>
      <c r="G8" s="29" t="n">
        <v>1.5</v>
      </c>
      <c r="H8" s="29" t="n">
        <v>2.5</v>
      </c>
      <c r="I8" s="29" t="n">
        <v>4</v>
      </c>
      <c r="J8" s="29" t="n">
        <v>5</v>
      </c>
      <c r="K8" s="29" t="n">
        <v>6</v>
      </c>
      <c r="L8" s="29" t="n">
        <v>7</v>
      </c>
    </row>
    <row r="9">
      <c r="A9" s="21" t="inlineStr">
        <is>
          <t>Trust &amp; safety / review</t>
        </is>
      </c>
      <c r="B9" s="22" t="inlineStr">
        <is>
          <t>FTE</t>
        </is>
      </c>
      <c r="C9" s="29" t="n">
        <v>0</v>
      </c>
      <c r="D9" s="29" t="n">
        <v>0</v>
      </c>
      <c r="E9" s="29" t="n">
        <v>0</v>
      </c>
      <c r="F9" s="29" t="n">
        <v>0.5</v>
      </c>
      <c r="G9" s="29" t="n">
        <v>1</v>
      </c>
      <c r="H9" s="29" t="n">
        <v>2</v>
      </c>
      <c r="I9" s="29" t="n">
        <v>3</v>
      </c>
      <c r="J9" s="29" t="n">
        <v>4</v>
      </c>
      <c r="K9" s="29" t="n">
        <v>5</v>
      </c>
      <c r="L9" s="29" t="n">
        <v>6</v>
      </c>
    </row>
    <row r="10">
      <c r="A10" s="21" t="inlineStr">
        <is>
          <t>Finance / operations</t>
        </is>
      </c>
      <c r="B10" s="22" t="inlineStr">
        <is>
          <t>FTE</t>
        </is>
      </c>
      <c r="C10" s="29" t="n">
        <v>0</v>
      </c>
      <c r="D10" s="29" t="n">
        <v>0</v>
      </c>
      <c r="E10" s="29" t="n">
        <v>0</v>
      </c>
      <c r="F10" s="29" t="n">
        <v>0.5</v>
      </c>
      <c r="G10" s="29" t="n">
        <v>1</v>
      </c>
      <c r="H10" s="29" t="n">
        <v>1</v>
      </c>
      <c r="I10" s="29" t="n">
        <v>1</v>
      </c>
      <c r="J10" s="29" t="n">
        <v>2</v>
      </c>
      <c r="K10" s="29" t="n">
        <v>2</v>
      </c>
      <c r="L10" s="29" t="n">
        <v>2</v>
      </c>
    </row>
    <row r="11">
      <c r="A11" s="21" t="inlineStr">
        <is>
          <t>Data protection officer</t>
        </is>
      </c>
      <c r="B11" s="22" t="inlineStr">
        <is>
          <t>FTE</t>
        </is>
      </c>
      <c r="C11" s="29" t="n">
        <v>0</v>
      </c>
      <c r="D11" s="29" t="n">
        <v>0</v>
      </c>
      <c r="E11" s="29" t="n">
        <v>0</v>
      </c>
      <c r="F11" s="29" t="n">
        <v>0</v>
      </c>
      <c r="G11" s="29" t="n">
        <v>0</v>
      </c>
      <c r="H11" s="29" t="n">
        <v>0.5</v>
      </c>
      <c r="I11" s="29" t="n">
        <v>1</v>
      </c>
      <c r="J11" s="29" t="n">
        <v>1</v>
      </c>
      <c r="K11" s="29" t="n">
        <v>1</v>
      </c>
      <c r="L11" s="29" t="n">
        <v>1</v>
      </c>
    </row>
    <row r="12">
      <c r="A12" s="53" t="inlineStr">
        <is>
          <t>TOTAL FTE</t>
        </is>
      </c>
      <c r="B12" s="48" t="inlineStr">
        <is>
          <t>FTE</t>
        </is>
      </c>
      <c r="C12" s="64">
        <f>SUM(C5:C11)</f>
        <v/>
      </c>
      <c r="D12" s="64">
        <f>SUM(D5:D11)</f>
        <v/>
      </c>
      <c r="E12" s="64">
        <f>SUM(E5:E11)</f>
        <v/>
      </c>
      <c r="F12" s="64">
        <f>SUM(F5:F11)</f>
        <v/>
      </c>
      <c r="G12" s="64">
        <f>SUM(G5:G11)</f>
        <v/>
      </c>
      <c r="H12" s="64">
        <f>SUM(H5:H11)</f>
        <v/>
      </c>
      <c r="I12" s="64">
        <f>SUM(I5:I11)</f>
        <v/>
      </c>
      <c r="J12" s="64">
        <f>SUM(J5:J11)</f>
        <v/>
      </c>
      <c r="K12" s="64">
        <f>SUM(K5:K11)</f>
        <v/>
      </c>
      <c r="L12" s="64">
        <f>SUM(L5:L11)</f>
        <v/>
      </c>
    </row>
    <row r="13">
      <c r="A13" s="21" t="inlineStr">
        <is>
          <t>Model headcount</t>
        </is>
      </c>
      <c r="B13" s="22" t="inlineStr">
        <is>
          <t>Assumptions</t>
        </is>
      </c>
      <c r="C13" s="39">
        <f>Assumptions!C66</f>
        <v/>
      </c>
      <c r="D13" s="39">
        <f>Assumptions!D66</f>
        <v/>
      </c>
      <c r="E13" s="39">
        <f>Assumptions!E66</f>
        <v/>
      </c>
      <c r="F13" s="39">
        <f>Assumptions!F66</f>
        <v/>
      </c>
      <c r="G13" s="39">
        <f>Assumptions!G66</f>
        <v/>
      </c>
      <c r="H13" s="39">
        <f>Assumptions!H66</f>
        <v/>
      </c>
      <c r="I13" s="39">
        <f>Assumptions!I66</f>
        <v/>
      </c>
      <c r="J13" s="39">
        <f>Assumptions!J66</f>
        <v/>
      </c>
      <c r="K13" s="39">
        <f>Assumptions!K66</f>
        <v/>
      </c>
      <c r="L13" s="39">
        <f>Assumptions!L66</f>
        <v/>
      </c>
    </row>
    <row r="14">
      <c r="A14" s="47" t="inlineStr">
        <is>
          <t>CHECK</t>
        </is>
      </c>
      <c r="B14" s="48" t="inlineStr">
        <is>
          <t>must be zero</t>
        </is>
      </c>
      <c r="C14" s="65">
        <f>ROUND(C12-C13,3)</f>
        <v/>
      </c>
      <c r="D14" s="65">
        <f>ROUND(D12-D13,3)</f>
        <v/>
      </c>
      <c r="E14" s="65">
        <f>ROUND(E12-E13,3)</f>
        <v/>
      </c>
      <c r="F14" s="65">
        <f>ROUND(F12-F13,3)</f>
        <v/>
      </c>
      <c r="G14" s="65">
        <f>ROUND(G12-G13,3)</f>
        <v/>
      </c>
      <c r="H14" s="65">
        <f>ROUND(H12-H13,3)</f>
        <v/>
      </c>
      <c r="I14" s="65">
        <f>ROUND(I12-I13,3)</f>
        <v/>
      </c>
      <c r="J14" s="65">
        <f>ROUND(J12-J13,3)</f>
        <v/>
      </c>
      <c r="K14" s="65">
        <f>ROUND(K12-K13,3)</f>
        <v/>
      </c>
      <c r="L14" s="65">
        <f>ROUND(L12-L13,3)</f>
        <v/>
      </c>
    </row>
    <row r="16">
      <c r="A16" s="19" t="inlineStr">
        <is>
          <t>COST: ROLE BUILD-UP AGAINST THE MODEL</t>
        </is>
      </c>
      <c r="B16" s="20" t="n"/>
      <c r="C16" s="20" t="n"/>
      <c r="D16" s="20" t="n"/>
      <c r="E16" s="20" t="n"/>
      <c r="F16" s="20" t="n"/>
      <c r="G16" s="20" t="n"/>
      <c r="H16" s="20" t="n"/>
      <c r="I16" s="20" t="n"/>
      <c r="J16" s="20" t="n"/>
      <c r="K16" s="20" t="n"/>
      <c r="L16" s="20" t="n"/>
    </row>
    <row r="17">
      <c r="A17" s="21" t="inlineStr">
        <is>
          <t>Employer social security</t>
        </is>
      </c>
      <c r="B17" s="22" t="inlineStr">
        <is>
          <t>on gross</t>
        </is>
      </c>
      <c r="C17" s="44" t="n">
        <v>0.32</v>
      </c>
      <c r="D17" s="44" t="n">
        <v>0.32</v>
      </c>
      <c r="E17" s="44" t="n">
        <v>0.32</v>
      </c>
      <c r="F17" s="44" t="n">
        <v>0.32</v>
      </c>
      <c r="G17" s="44" t="n">
        <v>0.32</v>
      </c>
      <c r="H17" s="44" t="n">
        <v>0.32</v>
      </c>
      <c r="I17" s="44" t="n">
        <v>0.32</v>
      </c>
      <c r="J17" s="44" t="n">
        <v>0.32</v>
      </c>
      <c r="K17" s="44" t="n">
        <v>0.32</v>
      </c>
      <c r="L17" s="44" t="n">
        <v>0.32</v>
      </c>
    </row>
    <row r="18">
      <c r="A18" s="21" t="inlineStr">
        <is>
          <t>Founder / CEO: loaded</t>
        </is>
      </c>
      <c r="B18" s="22" t="inlineStr">
        <is>
          <t>EUR</t>
        </is>
      </c>
      <c r="C18" s="55">
        <f>C5*45000*(1+C17)</f>
        <v/>
      </c>
      <c r="D18" s="55">
        <f>D5*45000*(1+D17)</f>
        <v/>
      </c>
      <c r="E18" s="55">
        <f>E5*45000*(1+E17)</f>
        <v/>
      </c>
      <c r="F18" s="55">
        <f>F5*45000*(1+F17)</f>
        <v/>
      </c>
      <c r="G18" s="55">
        <f>G5*45000*(1+G17)</f>
        <v/>
      </c>
      <c r="H18" s="55">
        <f>H5*45000*(1+H17)</f>
        <v/>
      </c>
      <c r="I18" s="55">
        <f>I5*45000*(1+I17)</f>
        <v/>
      </c>
      <c r="J18" s="55">
        <f>J5*45000*(1+J17)</f>
        <v/>
      </c>
      <c r="K18" s="55">
        <f>K5*45000*(1+K17)</f>
        <v/>
      </c>
      <c r="L18" s="55">
        <f>L5*45000*(1+L17)</f>
        <v/>
      </c>
    </row>
    <row r="19">
      <c r="A19" s="21" t="inlineStr">
        <is>
          <t>Engineering: loaded</t>
        </is>
      </c>
      <c r="B19" s="22" t="inlineStr">
        <is>
          <t>EUR</t>
        </is>
      </c>
      <c r="C19" s="55">
        <f>C6*55000*(1+C17)</f>
        <v/>
      </c>
      <c r="D19" s="55">
        <f>D6*55000*(1+D17)</f>
        <v/>
      </c>
      <c r="E19" s="55">
        <f>E6*55000*(1+E17)</f>
        <v/>
      </c>
      <c r="F19" s="55">
        <f>F6*55000*(1+F17)</f>
        <v/>
      </c>
      <c r="G19" s="55">
        <f>G6*55000*(1+G17)</f>
        <v/>
      </c>
      <c r="H19" s="55">
        <f>H6*55000*(1+H17)</f>
        <v/>
      </c>
      <c r="I19" s="55">
        <f>I6*55000*(1+I17)</f>
        <v/>
      </c>
      <c r="J19" s="55">
        <f>J6*55000*(1+J17)</f>
        <v/>
      </c>
      <c r="K19" s="55">
        <f>K6*55000*(1+K17)</f>
        <v/>
      </c>
      <c r="L19" s="55">
        <f>L6*55000*(1+L17)</f>
        <v/>
      </c>
    </row>
    <row r="20">
      <c r="A20" s="21" t="inlineStr">
        <is>
          <t>BD / partnerships: loaded</t>
        </is>
      </c>
      <c r="B20" s="22" t="inlineStr">
        <is>
          <t>EUR</t>
        </is>
      </c>
      <c r="C20" s="55">
        <f>C7*38000*(1+C17)</f>
        <v/>
      </c>
      <c r="D20" s="55">
        <f>D7*38000*(1+D17)</f>
        <v/>
      </c>
      <c r="E20" s="55">
        <f>E7*38000*(1+E17)</f>
        <v/>
      </c>
      <c r="F20" s="55">
        <f>F7*38000*(1+F17)</f>
        <v/>
      </c>
      <c r="G20" s="55">
        <f>G7*38000*(1+G17)</f>
        <v/>
      </c>
      <c r="H20" s="55">
        <f>H7*38000*(1+H17)</f>
        <v/>
      </c>
      <c r="I20" s="55">
        <f>I7*38000*(1+I17)</f>
        <v/>
      </c>
      <c r="J20" s="55">
        <f>J7*38000*(1+J17)</f>
        <v/>
      </c>
      <c r="K20" s="55">
        <f>K7*38000*(1+K17)</f>
        <v/>
      </c>
      <c r="L20" s="55">
        <f>L7*38000*(1+L17)</f>
        <v/>
      </c>
    </row>
    <row r="21">
      <c r="A21" s="21" t="inlineStr">
        <is>
          <t>Athlete success: loaded</t>
        </is>
      </c>
      <c r="B21" s="22" t="inlineStr">
        <is>
          <t>EUR</t>
        </is>
      </c>
      <c r="C21" s="55">
        <f>C8*30000*(1+C17)</f>
        <v/>
      </c>
      <c r="D21" s="55">
        <f>D8*30000*(1+D17)</f>
        <v/>
      </c>
      <c r="E21" s="55">
        <f>E8*30000*(1+E17)</f>
        <v/>
      </c>
      <c r="F21" s="55">
        <f>F8*30000*(1+F17)</f>
        <v/>
      </c>
      <c r="G21" s="55">
        <f>G8*30000*(1+G17)</f>
        <v/>
      </c>
      <c r="H21" s="55">
        <f>H8*30000*(1+H17)</f>
        <v/>
      </c>
      <c r="I21" s="55">
        <f>I8*30000*(1+I17)</f>
        <v/>
      </c>
      <c r="J21" s="55">
        <f>J8*30000*(1+J17)</f>
        <v/>
      </c>
      <c r="K21" s="55">
        <f>K8*30000*(1+K17)</f>
        <v/>
      </c>
      <c r="L21" s="55">
        <f>L8*30000*(1+L17)</f>
        <v/>
      </c>
    </row>
    <row r="22">
      <c r="A22" s="21" t="inlineStr">
        <is>
          <t>Trust &amp; safety / review: loaded</t>
        </is>
      </c>
      <c r="B22" s="22" t="inlineStr">
        <is>
          <t>EUR</t>
        </is>
      </c>
      <c r="C22" s="55">
        <f>C9*34000*(1+C17)</f>
        <v/>
      </c>
      <c r="D22" s="55">
        <f>D9*34000*(1+D17)</f>
        <v/>
      </c>
      <c r="E22" s="55">
        <f>E9*34000*(1+E17)</f>
        <v/>
      </c>
      <c r="F22" s="55">
        <f>F9*34000*(1+F17)</f>
        <v/>
      </c>
      <c r="G22" s="55">
        <f>G9*34000*(1+G17)</f>
        <v/>
      </c>
      <c r="H22" s="55">
        <f>H9*34000*(1+H17)</f>
        <v/>
      </c>
      <c r="I22" s="55">
        <f>I9*34000*(1+I17)</f>
        <v/>
      </c>
      <c r="J22" s="55">
        <f>J9*34000*(1+J17)</f>
        <v/>
      </c>
      <c r="K22" s="55">
        <f>K9*34000*(1+K17)</f>
        <v/>
      </c>
      <c r="L22" s="55">
        <f>L9*34000*(1+L17)</f>
        <v/>
      </c>
    </row>
    <row r="23">
      <c r="A23" s="21" t="inlineStr">
        <is>
          <t>Finance / operations: loaded</t>
        </is>
      </c>
      <c r="B23" s="22" t="inlineStr">
        <is>
          <t>EUR</t>
        </is>
      </c>
      <c r="C23" s="55">
        <f>C10*42000*(1+C17)</f>
        <v/>
      </c>
      <c r="D23" s="55">
        <f>D10*42000*(1+D17)</f>
        <v/>
      </c>
      <c r="E23" s="55">
        <f>E10*42000*(1+E17)</f>
        <v/>
      </c>
      <c r="F23" s="55">
        <f>F10*42000*(1+F17)</f>
        <v/>
      </c>
      <c r="G23" s="55">
        <f>G10*42000*(1+G17)</f>
        <v/>
      </c>
      <c r="H23" s="55">
        <f>H10*42000*(1+H17)</f>
        <v/>
      </c>
      <c r="I23" s="55">
        <f>I10*42000*(1+I17)</f>
        <v/>
      </c>
      <c r="J23" s="55">
        <f>J10*42000*(1+J17)</f>
        <v/>
      </c>
      <c r="K23" s="55">
        <f>K10*42000*(1+K17)</f>
        <v/>
      </c>
      <c r="L23" s="55">
        <f>L10*42000*(1+L17)</f>
        <v/>
      </c>
    </row>
    <row r="24">
      <c r="A24" s="21" t="inlineStr">
        <is>
          <t>Data protection officer: loaded</t>
        </is>
      </c>
      <c r="B24" s="22" t="inlineStr">
        <is>
          <t>EUR</t>
        </is>
      </c>
      <c r="C24" s="55">
        <f>C11*60000*(1+C17)</f>
        <v/>
      </c>
      <c r="D24" s="55">
        <f>D11*60000*(1+D17)</f>
        <v/>
      </c>
      <c r="E24" s="55">
        <f>E11*60000*(1+E17)</f>
        <v/>
      </c>
      <c r="F24" s="55">
        <f>F11*60000*(1+F17)</f>
        <v/>
      </c>
      <c r="G24" s="55">
        <f>G11*60000*(1+G17)</f>
        <v/>
      </c>
      <c r="H24" s="55">
        <f>H11*60000*(1+H17)</f>
        <v/>
      </c>
      <c r="I24" s="55">
        <f>I11*60000*(1+I17)</f>
        <v/>
      </c>
      <c r="J24" s="55">
        <f>J11*60000*(1+J17)</f>
        <v/>
      </c>
      <c r="K24" s="55">
        <f>K11*60000*(1+K17)</f>
        <v/>
      </c>
      <c r="L24" s="55">
        <f>L11*60000*(1+L17)</f>
        <v/>
      </c>
    </row>
    <row r="25">
      <c r="A25" s="53" t="inlineStr">
        <is>
          <t>TOTAL, role build-up</t>
        </is>
      </c>
      <c r="B25" s="48" t="inlineStr">
        <is>
          <t>EUR</t>
        </is>
      </c>
      <c r="C25" s="54">
        <f>SUM(C18:C24)</f>
        <v/>
      </c>
      <c r="D25" s="54">
        <f>SUM(D18:D24)</f>
        <v/>
      </c>
      <c r="E25" s="54">
        <f>SUM(E18:E24)</f>
        <v/>
      </c>
      <c r="F25" s="54">
        <f>SUM(F18:F24)</f>
        <v/>
      </c>
      <c r="G25" s="54">
        <f>SUM(G18:G24)</f>
        <v/>
      </c>
      <c r="H25" s="54">
        <f>SUM(H18:H24)</f>
        <v/>
      </c>
      <c r="I25" s="54">
        <f>SUM(I18:I24)</f>
        <v/>
      </c>
      <c r="J25" s="54">
        <f>SUM(J18:J24)</f>
        <v/>
      </c>
      <c r="K25" s="54">
        <f>SUM(K18:K24)</f>
        <v/>
      </c>
      <c r="L25" s="54">
        <f>SUM(L18:L24)</f>
        <v/>
      </c>
    </row>
    <row r="26">
      <c r="A26" s="21" t="inlineStr">
        <is>
          <t>People cost in the model</t>
        </is>
      </c>
      <c r="B26" s="22" t="inlineStr">
        <is>
          <t>Costs</t>
        </is>
      </c>
      <c r="C26" s="38">
        <f>Costs!C17</f>
        <v/>
      </c>
      <c r="D26" s="38">
        <f>Costs!D17</f>
        <v/>
      </c>
      <c r="E26" s="38">
        <f>Costs!E17</f>
        <v/>
      </c>
      <c r="F26" s="38">
        <f>Costs!F17</f>
        <v/>
      </c>
      <c r="G26" s="38">
        <f>Costs!G17</f>
        <v/>
      </c>
      <c r="H26" s="38">
        <f>Costs!H17</f>
        <v/>
      </c>
      <c r="I26" s="38">
        <f>Costs!I17</f>
        <v/>
      </c>
      <c r="J26" s="38">
        <f>Costs!J17</f>
        <v/>
      </c>
      <c r="K26" s="38">
        <f>Costs!K17</f>
        <v/>
      </c>
      <c r="L26" s="38">
        <f>Costs!L17</f>
        <v/>
      </c>
    </row>
    <row r="27">
      <c r="A27" s="21" t="inlineStr">
        <is>
          <t>Difference: role mix</t>
        </is>
      </c>
      <c r="B27" s="22" t="inlineStr">
        <is>
          <t>build-up less model</t>
        </is>
      </c>
      <c r="C27" s="55">
        <f>C25-C26</f>
        <v/>
      </c>
      <c r="D27" s="55">
        <f>D25-D26</f>
        <v/>
      </c>
      <c r="E27" s="55">
        <f>E25-E26</f>
        <v/>
      </c>
      <c r="F27" s="55">
        <f>F25-F26</f>
        <v/>
      </c>
      <c r="G27" s="55">
        <f>G25-G26</f>
        <v/>
      </c>
      <c r="H27" s="55">
        <f>H25-H26</f>
        <v/>
      </c>
      <c r="I27" s="55">
        <f>I25-I26</f>
        <v/>
      </c>
      <c r="J27" s="55">
        <f>J25-J26</f>
        <v/>
      </c>
      <c r="K27" s="55">
        <f>K25-K26</f>
        <v/>
      </c>
      <c r="L27" s="55">
        <f>L25-L26</f>
        <v/>
      </c>
    </row>
    <row r="28">
      <c r="A28" s="21" t="inlineStr">
        <is>
          <t xml:space="preserve">  memo: build-up per FTE</t>
        </is>
      </c>
      <c r="B28" s="22" t="inlineStr">
        <is>
          <t>EUR</t>
        </is>
      </c>
      <c r="C28" s="66">
        <f>IF(C12=0,0,C25/C12)</f>
        <v/>
      </c>
      <c r="D28" s="66">
        <f>IF(D12=0,0,D25/D12)</f>
        <v/>
      </c>
      <c r="E28" s="66">
        <f>IF(E12=0,0,E25/E12)</f>
        <v/>
      </c>
      <c r="F28" s="66">
        <f>IF(F12=0,0,F25/F12)</f>
        <v/>
      </c>
      <c r="G28" s="66">
        <f>IF(G12=0,0,G25/G12)</f>
        <v/>
      </c>
      <c r="H28" s="66">
        <f>IF(H12=0,0,H25/H12)</f>
        <v/>
      </c>
      <c r="I28" s="66">
        <f>IF(I12=0,0,I25/I12)</f>
        <v/>
      </c>
      <c r="J28" s="66">
        <f>IF(J12=0,0,J25/J12)</f>
        <v/>
      </c>
      <c r="K28" s="66">
        <f>IF(K12=0,0,K25/K12)</f>
        <v/>
      </c>
      <c r="L28" s="66">
        <f>IF(L12=0,0,L25/L12)</f>
        <v/>
      </c>
    </row>
    <row r="29">
      <c r="A29" s="21" t="inlineStr">
        <is>
          <t xml:space="preserve">  memo: model blended per FTE</t>
        </is>
      </c>
      <c r="B29" s="22" t="inlineStr">
        <is>
          <t>EUR</t>
        </is>
      </c>
      <c r="C29" s="38">
        <f>Assumptions!C67</f>
        <v/>
      </c>
      <c r="D29" s="38">
        <f>Assumptions!D67</f>
        <v/>
      </c>
      <c r="E29" s="38">
        <f>Assumptions!E67</f>
        <v/>
      </c>
      <c r="F29" s="38">
        <f>Assumptions!F67</f>
        <v/>
      </c>
      <c r="G29" s="38">
        <f>Assumptions!G67</f>
        <v/>
      </c>
      <c r="H29" s="38">
        <f>Assumptions!H67</f>
        <v/>
      </c>
      <c r="I29" s="38">
        <f>Assumptions!I67</f>
        <v/>
      </c>
      <c r="J29" s="38">
        <f>Assumptions!J67</f>
        <v/>
      </c>
      <c r="K29" s="38">
        <f>Assumptions!K67</f>
        <v/>
      </c>
      <c r="L29" s="38">
        <f>Assumptions!L67</f>
        <v/>
      </c>
    </row>
    <row r="31">
      <c r="A31" s="67" t="inlineStr">
        <is>
          <t>The FTE block reconciles exactly and is the plan. The cost build-up prices those roles at their own salaries; the model prices the same headcount at a blended loaded average that rises from 38k to 76k over the plan, while the build-up holds today's salaries flat. The two cross over at Y4: the build-up is the higher figure in Y1-Y3, where one founder salary dominates a team of two or three, and the model is higher from Y4 as its blended rate climbs. The model is the one that reaches the P&amp;L either way. The memo rows below make the two rates comparable.</t>
        </is>
      </c>
    </row>
  </sheetData>
  <mergeCells count="5">
    <mergeCell ref="C2:D2"/>
    <mergeCell ref="G2:H2"/>
    <mergeCell ref="E2:F2"/>
    <mergeCell ref="K2:L2"/>
    <mergeCell ref="I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4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Customer acquisition cost and lifetime value</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ATHLETE: BLENDED ACROSS SEGMENTS</t>
        </is>
      </c>
      <c r="B4" s="20" t="n"/>
      <c r="C4" s="20" t="n"/>
      <c r="D4" s="20" t="n"/>
      <c r="E4" s="20" t="n"/>
      <c r="F4" s="20" t="n"/>
      <c r="G4" s="20" t="n"/>
      <c r="H4" s="20" t="n"/>
      <c r="I4" s="20" t="n"/>
      <c r="J4" s="20" t="n"/>
      <c r="K4" s="20" t="n"/>
      <c r="L4" s="20" t="n"/>
    </row>
    <row r="5">
      <c r="A5" s="21" t="inlineStr">
        <is>
          <t>Niche share of athletes</t>
        </is>
      </c>
      <c r="B5" s="22" t="inlineStr">
        <is>
          <t>%</t>
        </is>
      </c>
      <c r="C5" s="31">
        <f>Assumptions!C6</f>
        <v/>
      </c>
      <c r="D5" s="31">
        <f>Assumptions!D6</f>
        <v/>
      </c>
      <c r="E5" s="31">
        <f>Assumptions!E6</f>
        <v/>
      </c>
      <c r="F5" s="31">
        <f>Assumptions!F6</f>
        <v/>
      </c>
      <c r="G5" s="31">
        <f>Assumptions!G6</f>
        <v/>
      </c>
      <c r="H5" s="31">
        <f>Assumptions!H6</f>
        <v/>
      </c>
      <c r="I5" s="31">
        <f>Assumptions!I6</f>
        <v/>
      </c>
      <c r="J5" s="31">
        <f>Assumptions!J6</f>
        <v/>
      </c>
      <c r="K5" s="31">
        <f>Assumptions!K6</f>
        <v/>
      </c>
      <c r="L5" s="31">
        <f>Assumptions!L6</f>
        <v/>
      </c>
    </row>
    <row r="6">
      <c r="A6" s="21" t="inlineStr">
        <is>
          <t>Blended CAC per athlete acquired</t>
        </is>
      </c>
      <c r="B6" s="22" t="inlineStr">
        <is>
          <t>spend / gross adds</t>
        </is>
      </c>
      <c r="C6" s="38">
        <f>IF(Drivers!C40=0,0,(Costs!C18+Costs!C19)/Drivers!C40)</f>
        <v/>
      </c>
      <c r="D6" s="38">
        <f>IF(Drivers!D40=0,0,(Costs!D18+Costs!D19)/Drivers!D40)</f>
        <v/>
      </c>
      <c r="E6" s="38">
        <f>IF(Drivers!E40=0,0,(Costs!E18+Costs!E19)/Drivers!E40)</f>
        <v/>
      </c>
      <c r="F6" s="38">
        <f>IF(Drivers!F40=0,0,(Costs!F18+Costs!F19)/Drivers!F40)</f>
        <v/>
      </c>
      <c r="G6" s="38">
        <f>IF(Drivers!G40=0,0,(Costs!G18+Costs!G19)/Drivers!G40)</f>
        <v/>
      </c>
      <c r="H6" s="38">
        <f>IF(Drivers!H40=0,0,(Costs!H18+Costs!H19)/Drivers!H40)</f>
        <v/>
      </c>
      <c r="I6" s="38">
        <f>IF(Drivers!I40=0,0,(Costs!I18+Costs!I19)/Drivers!I40)</f>
        <v/>
      </c>
      <c r="J6" s="38">
        <f>IF(Drivers!J40=0,0,(Costs!J18+Costs!J19)/Drivers!J40)</f>
        <v/>
      </c>
      <c r="K6" s="38">
        <f>IF(Drivers!K40=0,0,(Costs!K18+Costs!K19)/Drivers!K40)</f>
        <v/>
      </c>
      <c r="L6" s="38">
        <f>IF(Drivers!L40=0,0,(Costs!L18+Costs!L19)/Drivers!L40)</f>
        <v/>
      </c>
    </row>
    <row r="7">
      <c r="A7" s="21" t="inlineStr">
        <is>
          <t>Blended athlete churn</t>
        </is>
      </c>
      <c r="B7" s="22" t="inlineStr">
        <is>
          <t>gross-add weighted</t>
        </is>
      </c>
      <c r="C7" s="31">
        <f>IF(Drivers!C40=0,0,(Drivers!C11*Assumptions!C14+Drivers!C25*Assumptions!C26)/Drivers!C40)</f>
        <v/>
      </c>
      <c r="D7" s="31">
        <f>IF(Drivers!D40=0,0,(Drivers!D11*Assumptions!D14+Drivers!D25*Assumptions!D26)/Drivers!D40)</f>
        <v/>
      </c>
      <c r="E7" s="31">
        <f>IF(Drivers!E40=0,0,(Drivers!E11*Assumptions!E14+Drivers!E25*Assumptions!E26)/Drivers!E40)</f>
        <v/>
      </c>
      <c r="F7" s="31">
        <f>IF(Drivers!F40=0,0,(Drivers!F11*Assumptions!F14+Drivers!F25*Assumptions!F26)/Drivers!F40)</f>
        <v/>
      </c>
      <c r="G7" s="31">
        <f>IF(Drivers!G40=0,0,(Drivers!G11*Assumptions!G14+Drivers!G25*Assumptions!G26)/Drivers!G40)</f>
        <v/>
      </c>
      <c r="H7" s="31">
        <f>IF(Drivers!H40=0,0,(Drivers!H11*Assumptions!H14+Drivers!H25*Assumptions!H26)/Drivers!H40)</f>
        <v/>
      </c>
      <c r="I7" s="31">
        <f>IF(Drivers!I40=0,0,(Drivers!I11*Assumptions!I14+Drivers!I25*Assumptions!I26)/Drivers!I40)</f>
        <v/>
      </c>
      <c r="J7" s="31">
        <f>IF(Drivers!J40=0,0,(Drivers!J11*Assumptions!J14+Drivers!J25*Assumptions!J26)/Drivers!J40)</f>
        <v/>
      </c>
      <c r="K7" s="31">
        <f>IF(Drivers!K40=0,0,(Drivers!K11*Assumptions!K14+Drivers!K25*Assumptions!K26)/Drivers!K40)</f>
        <v/>
      </c>
      <c r="L7" s="31">
        <f>IF(Drivers!L40=0,0,(Drivers!L11*Assumptions!L14+Drivers!L25*Assumptions!L26)/Drivers!L40)</f>
        <v/>
      </c>
    </row>
    <row r="8">
      <c r="A8" s="21" t="inlineStr">
        <is>
          <t>Expected athlete life</t>
        </is>
      </c>
      <c r="B8" s="22" t="inlineStr">
        <is>
          <t>years</t>
        </is>
      </c>
      <c r="C8" s="68">
        <f>IF(C7=0,0,1/C7)</f>
        <v/>
      </c>
      <c r="D8" s="68">
        <f>IF(D7=0,0,1/D7)</f>
        <v/>
      </c>
      <c r="E8" s="68">
        <f>IF(E7=0,0,1/E7)</f>
        <v/>
      </c>
      <c r="F8" s="68">
        <f>IF(F7=0,0,1/F7)</f>
        <v/>
      </c>
      <c r="G8" s="68">
        <f>IF(G7=0,0,1/G7)</f>
        <v/>
      </c>
      <c r="H8" s="68">
        <f>IF(H7=0,0,1/H7)</f>
        <v/>
      </c>
      <c r="I8" s="68">
        <f>IF(I7=0,0,1/I7)</f>
        <v/>
      </c>
      <c r="J8" s="68">
        <f>IF(J7=0,0,1/J7)</f>
        <v/>
      </c>
      <c r="K8" s="68">
        <f>IF(K7=0,0,1/K7)</f>
        <v/>
      </c>
      <c r="L8" s="68">
        <f>IF(L7=0,0,1/L7)</f>
        <v/>
      </c>
    </row>
    <row r="9">
      <c r="A9" s="21" t="inlineStr">
        <is>
          <t>Net revenue per athlete</t>
        </is>
      </c>
      <c r="B9" s="22" t="inlineStr">
        <is>
          <t>EUR/yr</t>
        </is>
      </c>
      <c r="C9" s="38">
        <f>IF(Drivers!C5=0,0,Revenue!C26/Drivers!C5)</f>
        <v/>
      </c>
      <c r="D9" s="38">
        <f>IF(Drivers!D5=0,0,Revenue!D26/Drivers!D5)</f>
        <v/>
      </c>
      <c r="E9" s="38">
        <f>IF(Drivers!E5=0,0,Revenue!E26/Drivers!E5)</f>
        <v/>
      </c>
      <c r="F9" s="38">
        <f>IF(Drivers!F5=0,0,Revenue!F26/Drivers!F5)</f>
        <v/>
      </c>
      <c r="G9" s="38">
        <f>IF(Drivers!G5=0,0,Revenue!G26/Drivers!G5)</f>
        <v/>
      </c>
      <c r="H9" s="38">
        <f>IF(Drivers!H5=0,0,Revenue!H26/Drivers!H5)</f>
        <v/>
      </c>
      <c r="I9" s="38">
        <f>IF(Drivers!I5=0,0,Revenue!I26/Drivers!I5)</f>
        <v/>
      </c>
      <c r="J9" s="38">
        <f>IF(Drivers!J5=0,0,Revenue!J26/Drivers!J5)</f>
        <v/>
      </c>
      <c r="K9" s="38">
        <f>IF(Drivers!K5=0,0,Revenue!K26/Drivers!K5)</f>
        <v/>
      </c>
      <c r="L9" s="38">
        <f>IF(Drivers!L5=0,0,Revenue!L26/Drivers!L5)</f>
        <v/>
      </c>
    </row>
    <row r="10">
      <c r="A10" s="21" t="inlineStr">
        <is>
          <t>Contribution per athlete per year</t>
        </is>
      </c>
      <c r="B10" s="22" t="inlineStr">
        <is>
          <t>after COGS</t>
        </is>
      </c>
      <c r="C10" s="38">
        <f>IF(Revenue!C26=0,0,C9*'P&amp;L'!C6/Revenue!C26)</f>
        <v/>
      </c>
      <c r="D10" s="38">
        <f>IF(Revenue!D26=0,0,D9*'P&amp;L'!D6/Revenue!D26)</f>
        <v/>
      </c>
      <c r="E10" s="38">
        <f>IF(Revenue!E26=0,0,E9*'P&amp;L'!E6/Revenue!E26)</f>
        <v/>
      </c>
      <c r="F10" s="38">
        <f>IF(Revenue!F26=0,0,F9*'P&amp;L'!F6/Revenue!F26)</f>
        <v/>
      </c>
      <c r="G10" s="38">
        <f>IF(Revenue!G26=0,0,G9*'P&amp;L'!G6/Revenue!G26)</f>
        <v/>
      </c>
      <c r="H10" s="38">
        <f>IF(Revenue!H26=0,0,H9*'P&amp;L'!H6/Revenue!H26)</f>
        <v/>
      </c>
      <c r="I10" s="38">
        <f>IF(Revenue!I26=0,0,I9*'P&amp;L'!I6/Revenue!I26)</f>
        <v/>
      </c>
      <c r="J10" s="38">
        <f>IF(Revenue!J26=0,0,J9*'P&amp;L'!J6/Revenue!J26)</f>
        <v/>
      </c>
      <c r="K10" s="38">
        <f>IF(Revenue!K26=0,0,K9*'P&amp;L'!K6/Revenue!K26)</f>
        <v/>
      </c>
      <c r="L10" s="38">
        <f>IF(Revenue!L26=0,0,L9*'P&amp;L'!L6/Revenue!L26)</f>
        <v/>
      </c>
    </row>
    <row r="11">
      <c r="A11" s="53" t="inlineStr">
        <is>
          <t>ATHLETE LTV</t>
        </is>
      </c>
      <c r="B11" s="48" t="inlineStr">
        <is>
          <t>EUR</t>
        </is>
      </c>
      <c r="C11" s="54">
        <f>C10*C8</f>
        <v/>
      </c>
      <c r="D11" s="54">
        <f>D10*D8</f>
        <v/>
      </c>
      <c r="E11" s="54">
        <f>E10*E8</f>
        <v/>
      </c>
      <c r="F11" s="54">
        <f>F10*F8</f>
        <v/>
      </c>
      <c r="G11" s="54">
        <f>G10*G8</f>
        <v/>
      </c>
      <c r="H11" s="54">
        <f>H10*H8</f>
        <v/>
      </c>
      <c r="I11" s="54">
        <f>I10*I8</f>
        <v/>
      </c>
      <c r="J11" s="54">
        <f>J10*J8</f>
        <v/>
      </c>
      <c r="K11" s="54">
        <f>K10*K8</f>
        <v/>
      </c>
      <c r="L11" s="54">
        <f>L10*L8</f>
        <v/>
      </c>
    </row>
    <row r="12">
      <c r="A12" s="47" t="inlineStr">
        <is>
          <t>LTV / CAC</t>
        </is>
      </c>
      <c r="B12" s="48" t="inlineStr">
        <is>
          <t>x</t>
        </is>
      </c>
      <c r="C12" s="65">
        <f>IF(C6=0,0,C11/C6)</f>
        <v/>
      </c>
      <c r="D12" s="65">
        <f>IF(D6=0,0,D11/D6)</f>
        <v/>
      </c>
      <c r="E12" s="65">
        <f>IF(E6=0,0,E11/E6)</f>
        <v/>
      </c>
      <c r="F12" s="65">
        <f>IF(F6=0,0,F11/F6)</f>
        <v/>
      </c>
      <c r="G12" s="65">
        <f>IF(G6=0,0,G11/G6)</f>
        <v/>
      </c>
      <c r="H12" s="65">
        <f>IF(H6=0,0,H11/H6)</f>
        <v/>
      </c>
      <c r="I12" s="65">
        <f>IF(I6=0,0,I11/I6)</f>
        <v/>
      </c>
      <c r="J12" s="65">
        <f>IF(J6=0,0,J11/J6)</f>
        <v/>
      </c>
      <c r="K12" s="65">
        <f>IF(K6=0,0,K11/K6)</f>
        <v/>
      </c>
      <c r="L12" s="65">
        <f>IF(L6=0,0,L11/L6)</f>
        <v/>
      </c>
    </row>
    <row r="13">
      <c r="A13" s="21" t="inlineStr">
        <is>
          <t>CAC payback</t>
        </is>
      </c>
      <c r="B13" s="22" t="inlineStr">
        <is>
          <t>months</t>
        </is>
      </c>
      <c r="C13" s="69">
        <f>IF(C10&lt;=0,0,12*C6/C10)</f>
        <v/>
      </c>
      <c r="D13" s="69">
        <f>IF(D10&lt;=0,0,12*D6/D10)</f>
        <v/>
      </c>
      <c r="E13" s="69">
        <f>IF(E10&lt;=0,0,12*E6/E10)</f>
        <v/>
      </c>
      <c r="F13" s="69">
        <f>IF(F10&lt;=0,0,12*F6/F10)</f>
        <v/>
      </c>
      <c r="G13" s="69">
        <f>IF(G10&lt;=0,0,12*G6/G10)</f>
        <v/>
      </c>
      <c r="H13" s="69">
        <f>IF(H10&lt;=0,0,12*H6/H10)</f>
        <v/>
      </c>
      <c r="I13" s="69">
        <f>IF(I10&lt;=0,0,12*I6/I10)</f>
        <v/>
      </c>
      <c r="J13" s="69">
        <f>IF(J10&lt;=0,0,12*J6/J10)</f>
        <v/>
      </c>
      <c r="K13" s="69">
        <f>IF(K10&lt;=0,0,12*K6/K10)</f>
        <v/>
      </c>
      <c r="L13" s="69">
        <f>IF(L10&lt;=0,0,12*L6/L10)</f>
        <v/>
      </c>
    </row>
    <row r="15">
      <c r="A15" s="67" t="inlineStr">
        <is>
          <t>The athlete LTV/CAC ratio is unusually high, and that is the thesis rather than an error: acquisition is cheap precisely because there is no incumbent agent to outbid in these sports. It should be read alongside the fan LTV below, which is small: the economics work on volume of athletes, not on the value of any one of them.</t>
        </is>
      </c>
    </row>
    <row r="18">
      <c r="A18" s="19" t="inlineStr">
        <is>
          <t>FAN: NICHE SUBSCRIPTION ONLY</t>
        </is>
      </c>
      <c r="B18" s="20" t="n"/>
      <c r="C18" s="20" t="n"/>
      <c r="D18" s="70" t="inlineStr">
        <is>
          <t>excludes PPV and tips, which the revenue model carries separately</t>
        </is>
      </c>
      <c r="E18" s="20" t="n"/>
      <c r="F18" s="20" t="n"/>
      <c r="G18" s="20" t="n"/>
      <c r="H18" s="20" t="n"/>
      <c r="I18" s="20" t="n"/>
      <c r="J18" s="20" t="n"/>
      <c r="K18" s="20" t="n"/>
      <c r="L18" s="20" t="n"/>
    </row>
    <row r="19">
      <c r="A19" s="21" t="inlineStr">
        <is>
          <t>Fan ARPU, VAT inclusive</t>
        </is>
      </c>
      <c r="B19" s="22" t="inlineStr">
        <is>
          <t>EUR/mo</t>
        </is>
      </c>
      <c r="C19" s="37">
        <f>Assumptions!C12</f>
        <v/>
      </c>
      <c r="D19" s="37">
        <f>Assumptions!D12</f>
        <v/>
      </c>
      <c r="E19" s="37">
        <f>Assumptions!E12</f>
        <v/>
      </c>
      <c r="F19" s="37">
        <f>Assumptions!F12</f>
        <v/>
      </c>
      <c r="G19" s="37">
        <f>Assumptions!G12</f>
        <v/>
      </c>
      <c r="H19" s="37">
        <f>Assumptions!H12</f>
        <v/>
      </c>
      <c r="I19" s="37">
        <f>Assumptions!I12</f>
        <v/>
      </c>
      <c r="J19" s="37">
        <f>Assumptions!J12</f>
        <v/>
      </c>
      <c r="K19" s="37">
        <f>Assumptions!K12</f>
        <v/>
      </c>
      <c r="L19" s="37">
        <f>Assumptions!L12</f>
        <v/>
      </c>
    </row>
    <row r="20">
      <c r="A20" s="21" t="inlineStr">
        <is>
          <t>Net of VAT</t>
        </is>
      </c>
      <c r="B20" s="22" t="inlineStr">
        <is>
          <t>EUR/mo</t>
        </is>
      </c>
      <c r="C20" s="37">
        <f>C19/(1+Assumptions!C48)</f>
        <v/>
      </c>
      <c r="D20" s="37">
        <f>D19/(1+Assumptions!D48)</f>
        <v/>
      </c>
      <c r="E20" s="37">
        <f>E19/(1+Assumptions!E48)</f>
        <v/>
      </c>
      <c r="F20" s="37">
        <f>F19/(1+Assumptions!F48)</f>
        <v/>
      </c>
      <c r="G20" s="37">
        <f>G19/(1+Assumptions!G48)</f>
        <v/>
      </c>
      <c r="H20" s="37">
        <f>H19/(1+Assumptions!H48)</f>
        <v/>
      </c>
      <c r="I20" s="37">
        <f>I19/(1+Assumptions!I48)</f>
        <v/>
      </c>
      <c r="J20" s="37">
        <f>J19/(1+Assumptions!J48)</f>
        <v/>
      </c>
      <c r="K20" s="37">
        <f>K19/(1+Assumptions!K48)</f>
        <v/>
      </c>
      <c r="L20" s="37">
        <f>L19/(1+Assumptions!L48)</f>
        <v/>
      </c>
    </row>
    <row r="21">
      <c r="A21" s="21" t="inlineStr">
        <is>
          <t>Our take</t>
        </is>
      </c>
      <c r="B21" s="22" t="inlineStr">
        <is>
          <t>EUR/mo</t>
        </is>
      </c>
      <c r="C21" s="37">
        <f>C20*Assumptions!C40</f>
        <v/>
      </c>
      <c r="D21" s="37">
        <f>D20*Assumptions!D40</f>
        <v/>
      </c>
      <c r="E21" s="37">
        <f>E20*Assumptions!E40</f>
        <v/>
      </c>
      <c r="F21" s="37">
        <f>F20*Assumptions!F40</f>
        <v/>
      </c>
      <c r="G21" s="37">
        <f>G20*Assumptions!G40</f>
        <v/>
      </c>
      <c r="H21" s="37">
        <f>H20*Assumptions!H40</f>
        <v/>
      </c>
      <c r="I21" s="37">
        <f>I20*Assumptions!I40</f>
        <v/>
      </c>
      <c r="J21" s="37">
        <f>J20*Assumptions!J40</f>
        <v/>
      </c>
      <c r="K21" s="37">
        <f>K20*Assumptions!K40</f>
        <v/>
      </c>
      <c r="L21" s="37">
        <f>L20*Assumptions!L40</f>
        <v/>
      </c>
    </row>
    <row r="22">
      <c r="A22" s="21" t="inlineStr">
        <is>
          <t>Payment cost on the charge</t>
        </is>
      </c>
      <c r="B22" s="22" t="inlineStr">
        <is>
          <t>EUR/mo</t>
        </is>
      </c>
      <c r="C22" s="37">
        <f>C19*Assumptions!C50+Assumptions!C51</f>
        <v/>
      </c>
      <c r="D22" s="37">
        <f>D19*Assumptions!D50+Assumptions!D51</f>
        <v/>
      </c>
      <c r="E22" s="37">
        <f>E19*Assumptions!E50+Assumptions!E51</f>
        <v/>
      </c>
      <c r="F22" s="37">
        <f>F19*Assumptions!F50+Assumptions!F51</f>
        <v/>
      </c>
      <c r="G22" s="37">
        <f>G19*Assumptions!G50+Assumptions!G51</f>
        <v/>
      </c>
      <c r="H22" s="37">
        <f>H19*Assumptions!H50+Assumptions!H51</f>
        <v/>
      </c>
      <c r="I22" s="37">
        <f>I19*Assumptions!I50+Assumptions!I51</f>
        <v/>
      </c>
      <c r="J22" s="37">
        <f>J19*Assumptions!J50+Assumptions!J51</f>
        <v/>
      </c>
      <c r="K22" s="37">
        <f>K19*Assumptions!K50+Assumptions!K51</f>
        <v/>
      </c>
      <c r="L22" s="37">
        <f>L19*Assumptions!L50+Assumptions!L51</f>
        <v/>
      </c>
    </row>
    <row r="23">
      <c r="A23" s="21" t="inlineStr">
        <is>
          <t>Payout cost, share per fan month</t>
        </is>
      </c>
      <c r="B23" s="22" t="inlineStr">
        <is>
          <t>EUR</t>
        </is>
      </c>
      <c r="C23" s="37">
        <f>C19*Assumptions!C52+Assumptions!C53/30</f>
        <v/>
      </c>
      <c r="D23" s="37">
        <f>D19*Assumptions!D52+Assumptions!D53/30</f>
        <v/>
      </c>
      <c r="E23" s="37">
        <f>E19*Assumptions!E52+Assumptions!E53/30</f>
        <v/>
      </c>
      <c r="F23" s="37">
        <f>F19*Assumptions!F52+Assumptions!F53/30</f>
        <v/>
      </c>
      <c r="G23" s="37">
        <f>G19*Assumptions!G52+Assumptions!G53/30</f>
        <v/>
      </c>
      <c r="H23" s="37">
        <f>H19*Assumptions!H52+Assumptions!H53/30</f>
        <v/>
      </c>
      <c r="I23" s="37">
        <f>I19*Assumptions!I52+Assumptions!I53/30</f>
        <v/>
      </c>
      <c r="J23" s="37">
        <f>J19*Assumptions!J52+Assumptions!J53/30</f>
        <v/>
      </c>
      <c r="K23" s="37">
        <f>K19*Assumptions!K52+Assumptions!K53/30</f>
        <v/>
      </c>
      <c r="L23" s="37">
        <f>L19*Assumptions!L52+Assumptions!L53/30</f>
        <v/>
      </c>
    </row>
    <row r="24">
      <c r="A24" s="21" t="inlineStr">
        <is>
          <t>Contribution per fan month</t>
        </is>
      </c>
      <c r="B24" s="22" t="inlineStr">
        <is>
          <t>EUR</t>
        </is>
      </c>
      <c r="C24" s="71">
        <f>C21-C22-C23</f>
        <v/>
      </c>
      <c r="D24" s="71">
        <f>D21-D22-D23</f>
        <v/>
      </c>
      <c r="E24" s="71">
        <f>E21-E22-E23</f>
        <v/>
      </c>
      <c r="F24" s="71">
        <f>F21-F22-F23</f>
        <v/>
      </c>
      <c r="G24" s="71">
        <f>G21-G22-G23</f>
        <v/>
      </c>
      <c r="H24" s="71">
        <f>H21-H22-H23</f>
        <v/>
      </c>
      <c r="I24" s="71">
        <f>I21-I22-I23</f>
        <v/>
      </c>
      <c r="J24" s="71">
        <f>J21-J22-J23</f>
        <v/>
      </c>
      <c r="K24" s="71">
        <f>K21-K22-K23</f>
        <v/>
      </c>
      <c r="L24" s="71">
        <f>L21-L22-L23</f>
        <v/>
      </c>
    </row>
    <row r="25">
      <c r="A25" s="21" t="inlineStr">
        <is>
          <t>Fan churn</t>
        </is>
      </c>
      <c r="B25" s="22" t="inlineStr">
        <is>
          <t>per month</t>
        </is>
      </c>
      <c r="C25" s="31">
        <f>Assumptions!C13</f>
        <v/>
      </c>
      <c r="D25" s="31">
        <f>Assumptions!D13</f>
        <v/>
      </c>
      <c r="E25" s="31">
        <f>Assumptions!E13</f>
        <v/>
      </c>
      <c r="F25" s="31">
        <f>Assumptions!F13</f>
        <v/>
      </c>
      <c r="G25" s="31">
        <f>Assumptions!G13</f>
        <v/>
      </c>
      <c r="H25" s="31">
        <f>Assumptions!H13</f>
        <v/>
      </c>
      <c r="I25" s="31">
        <f>Assumptions!I13</f>
        <v/>
      </c>
      <c r="J25" s="31">
        <f>Assumptions!J13</f>
        <v/>
      </c>
      <c r="K25" s="31">
        <f>Assumptions!K13</f>
        <v/>
      </c>
      <c r="L25" s="31">
        <f>Assumptions!L13</f>
        <v/>
      </c>
    </row>
    <row r="26">
      <c r="A26" s="21" t="inlineStr">
        <is>
          <t>Expected fan life</t>
        </is>
      </c>
      <c r="B26" s="22" t="inlineStr">
        <is>
          <t>months</t>
        </is>
      </c>
      <c r="C26" s="69">
        <f>IF(C25=0,0,1/C25)</f>
        <v/>
      </c>
      <c r="D26" s="69">
        <f>IF(D25=0,0,1/D25)</f>
        <v/>
      </c>
      <c r="E26" s="69">
        <f>IF(E25=0,0,1/E25)</f>
        <v/>
      </c>
      <c r="F26" s="69">
        <f>IF(F25=0,0,1/F25)</f>
        <v/>
      </c>
      <c r="G26" s="69">
        <f>IF(G25=0,0,1/G25)</f>
        <v/>
      </c>
      <c r="H26" s="69">
        <f>IF(H25=0,0,1/H25)</f>
        <v/>
      </c>
      <c r="I26" s="69">
        <f>IF(I25=0,0,1/I25)</f>
        <v/>
      </c>
      <c r="J26" s="69">
        <f>IF(J25=0,0,1/J25)</f>
        <v/>
      </c>
      <c r="K26" s="69">
        <f>IF(K25=0,0,1/K25)</f>
        <v/>
      </c>
      <c r="L26" s="69">
        <f>IF(L25=0,0,1/L25)</f>
        <v/>
      </c>
    </row>
    <row r="27">
      <c r="A27" s="53" t="inlineStr">
        <is>
          <t>FAN LTV</t>
        </is>
      </c>
      <c r="B27" s="48" t="inlineStr">
        <is>
          <t>EUR</t>
        </is>
      </c>
      <c r="C27" s="72">
        <f>C24*C26</f>
        <v/>
      </c>
      <c r="D27" s="72">
        <f>D24*D26</f>
        <v/>
      </c>
      <c r="E27" s="72">
        <f>E24*E26</f>
        <v/>
      </c>
      <c r="F27" s="72">
        <f>F24*F26</f>
        <v/>
      </c>
      <c r="G27" s="72">
        <f>G24*G26</f>
        <v/>
      </c>
      <c r="H27" s="72">
        <f>H24*H26</f>
        <v/>
      </c>
      <c r="I27" s="72">
        <f>I24*I26</f>
        <v/>
      </c>
      <c r="J27" s="72">
        <f>J24*J26</f>
        <v/>
      </c>
      <c r="K27" s="72">
        <f>K24*K26</f>
        <v/>
      </c>
      <c r="L27" s="72">
        <f>L24*L26</f>
        <v/>
      </c>
    </row>
    <row r="28">
      <c r="A28" s="21" t="inlineStr">
        <is>
          <t>Fan CAC</t>
        </is>
      </c>
      <c r="B28" s="22" t="inlineStr">
        <is>
          <t>EUR</t>
        </is>
      </c>
      <c r="C28" s="36" t="n">
        <v>0</v>
      </c>
      <c r="D28" s="36" t="n">
        <v>0</v>
      </c>
      <c r="E28" s="36" t="n">
        <v>0</v>
      </c>
      <c r="F28" s="36" t="n">
        <v>0</v>
      </c>
      <c r="G28" s="36" t="n">
        <v>0</v>
      </c>
      <c r="H28" s="36" t="n">
        <v>0</v>
      </c>
      <c r="I28" s="36" t="n">
        <v>0</v>
      </c>
      <c r="J28" s="36" t="n">
        <v>0</v>
      </c>
      <c r="K28" s="36" t="n">
        <v>0</v>
      </c>
      <c r="L28" s="36" t="n">
        <v>0</v>
      </c>
    </row>
    <row r="30">
      <c r="A30" s="67" t="inlineStr">
        <is>
          <t>Fan CAC is zero by construction: athletes bring their own audiences and the model spends nothing acquiring fans. That understates the risk rather than flattering the return, and the plan discloses it as such.</t>
        </is>
      </c>
    </row>
    <row r="32">
      <c r="A32" s="19" t="inlineStr">
        <is>
          <t>SPONSOR</t>
        </is>
      </c>
      <c r="B32" s="20" t="n"/>
      <c r="C32" s="20" t="n"/>
      <c r="D32" s="20" t="n"/>
      <c r="E32" s="20" t="n"/>
      <c r="F32" s="20" t="n"/>
      <c r="G32" s="20" t="n"/>
      <c r="H32" s="20" t="n"/>
      <c r="I32" s="20" t="n"/>
      <c r="J32" s="20" t="n"/>
      <c r="K32" s="20" t="n"/>
      <c r="L32" s="20" t="n"/>
    </row>
    <row r="33">
      <c r="A33" s="21" t="inlineStr">
        <is>
          <t>Sponsor CAC</t>
        </is>
      </c>
      <c r="B33" s="22" t="inlineStr">
        <is>
          <t>EUR</t>
        </is>
      </c>
      <c r="C33" s="38">
        <f>Assumptions!C37</f>
        <v/>
      </c>
      <c r="D33" s="38">
        <f>Assumptions!D37</f>
        <v/>
      </c>
      <c r="E33" s="38">
        <f>Assumptions!E37</f>
        <v/>
      </c>
      <c r="F33" s="38">
        <f>Assumptions!F37</f>
        <v/>
      </c>
      <c r="G33" s="38">
        <f>Assumptions!G37</f>
        <v/>
      </c>
      <c r="H33" s="38">
        <f>Assumptions!H37</f>
        <v/>
      </c>
      <c r="I33" s="38">
        <f>Assumptions!I37</f>
        <v/>
      </c>
      <c r="J33" s="38">
        <f>Assumptions!J37</f>
        <v/>
      </c>
      <c r="K33" s="38">
        <f>Assumptions!K37</f>
        <v/>
      </c>
      <c r="L33" s="38">
        <f>Assumptions!L37</f>
        <v/>
      </c>
    </row>
    <row r="34">
      <c r="A34" s="21" t="inlineStr">
        <is>
          <t>SaaS per paying sponsor</t>
        </is>
      </c>
      <c r="B34" s="22" t="inlineStr">
        <is>
          <t>EUR/yr</t>
        </is>
      </c>
      <c r="C34" s="38">
        <f>Assumptions!C36*12</f>
        <v/>
      </c>
      <c r="D34" s="38">
        <f>Assumptions!D36*12</f>
        <v/>
      </c>
      <c r="E34" s="38">
        <f>Assumptions!E36*12</f>
        <v/>
      </c>
      <c r="F34" s="38">
        <f>Assumptions!F36*12</f>
        <v/>
      </c>
      <c r="G34" s="38">
        <f>Assumptions!G36*12</f>
        <v/>
      </c>
      <c r="H34" s="38">
        <f>Assumptions!H36*12</f>
        <v/>
      </c>
      <c r="I34" s="38">
        <f>Assumptions!I36*12</f>
        <v/>
      </c>
      <c r="J34" s="38">
        <f>Assumptions!J36*12</f>
        <v/>
      </c>
      <c r="K34" s="38">
        <f>Assumptions!K36*12</f>
        <v/>
      </c>
      <c r="L34" s="38">
        <f>Assumptions!L36*12</f>
        <v/>
      </c>
    </row>
    <row r="35">
      <c r="A35" s="21" t="inlineStr">
        <is>
          <t>Sponsorship take per paying sponsor</t>
        </is>
      </c>
      <c r="B35" s="22" t="inlineStr">
        <is>
          <t>EUR/yr</t>
        </is>
      </c>
      <c r="C35" s="38">
        <f>IF(Drivers!C48=0,0,Revenue!C24/Drivers!C48)</f>
        <v/>
      </c>
      <c r="D35" s="38">
        <f>IF(Drivers!D48=0,0,Revenue!D24/Drivers!D48)</f>
        <v/>
      </c>
      <c r="E35" s="38">
        <f>IF(Drivers!E48=0,0,Revenue!E24/Drivers!E48)</f>
        <v/>
      </c>
      <c r="F35" s="38">
        <f>IF(Drivers!F48=0,0,Revenue!F24/Drivers!F48)</f>
        <v/>
      </c>
      <c r="G35" s="38">
        <f>IF(Drivers!G48=0,0,Revenue!G24/Drivers!G48)</f>
        <v/>
      </c>
      <c r="H35" s="38">
        <f>IF(Drivers!H48=0,0,Revenue!H24/Drivers!H48)</f>
        <v/>
      </c>
      <c r="I35" s="38">
        <f>IF(Drivers!I48=0,0,Revenue!I24/Drivers!I48)</f>
        <v/>
      </c>
      <c r="J35" s="38">
        <f>IF(Drivers!J48=0,0,Revenue!J24/Drivers!J48)</f>
        <v/>
      </c>
      <c r="K35" s="38">
        <f>IF(Drivers!K48=0,0,Revenue!K24/Drivers!K48)</f>
        <v/>
      </c>
      <c r="L35" s="38">
        <f>IF(Drivers!L48=0,0,Revenue!L24/Drivers!L48)</f>
        <v/>
      </c>
    </row>
    <row r="36">
      <c r="A36" s="21" t="inlineStr">
        <is>
          <t>Contribution per sponsor per year</t>
        </is>
      </c>
      <c r="B36" s="22" t="inlineStr">
        <is>
          <t>EUR</t>
        </is>
      </c>
      <c r="C36" s="55">
        <f>C34+C35</f>
        <v/>
      </c>
      <c r="D36" s="55">
        <f>D34+D35</f>
        <v/>
      </c>
      <c r="E36" s="55">
        <f>E34+E35</f>
        <v/>
      </c>
      <c r="F36" s="55">
        <f>F34+F35</f>
        <v/>
      </c>
      <c r="G36" s="55">
        <f>G34+G35</f>
        <v/>
      </c>
      <c r="H36" s="55">
        <f>H34+H35</f>
        <v/>
      </c>
      <c r="I36" s="55">
        <f>I34+I35</f>
        <v/>
      </c>
      <c r="J36" s="55">
        <f>J34+J35</f>
        <v/>
      </c>
      <c r="K36" s="55">
        <f>K34+K35</f>
        <v/>
      </c>
      <c r="L36" s="55">
        <f>L34+L35</f>
        <v/>
      </c>
    </row>
    <row r="37">
      <c r="A37" s="21" t="inlineStr">
        <is>
          <t xml:space="preserve">  at gross margin</t>
        </is>
      </c>
      <c r="B37" s="22" t="inlineStr">
        <is>
          <t>EUR</t>
        </is>
      </c>
      <c r="C37" s="38">
        <f>C36*'P&amp;L'!C7</f>
        <v/>
      </c>
      <c r="D37" s="38">
        <f>D36*'P&amp;L'!D7</f>
        <v/>
      </c>
      <c r="E37" s="38">
        <f>E36*'P&amp;L'!E7</f>
        <v/>
      </c>
      <c r="F37" s="38">
        <f>F36*'P&amp;L'!F7</f>
        <v/>
      </c>
      <c r="G37" s="38">
        <f>G36*'P&amp;L'!G7</f>
        <v/>
      </c>
      <c r="H37" s="38">
        <f>H36*'P&amp;L'!H7</f>
        <v/>
      </c>
      <c r="I37" s="38">
        <f>I36*'P&amp;L'!I7</f>
        <v/>
      </c>
      <c r="J37" s="38">
        <f>J36*'P&amp;L'!J7</f>
        <v/>
      </c>
      <c r="K37" s="38">
        <f>K36*'P&amp;L'!K7</f>
        <v/>
      </c>
      <c r="L37" s="38">
        <f>L36*'P&amp;L'!L7</f>
        <v/>
      </c>
    </row>
    <row r="38">
      <c r="A38" s="53" t="inlineStr">
        <is>
          <t>CAC payback</t>
        </is>
      </c>
      <c r="B38" s="48" t="inlineStr">
        <is>
          <t>months</t>
        </is>
      </c>
      <c r="C38" s="64">
        <f>IF(C37&lt;=0,0,12*C33/C37)</f>
        <v/>
      </c>
      <c r="D38" s="64">
        <f>IF(D37&lt;=0,0,12*D33/D37)</f>
        <v/>
      </c>
      <c r="E38" s="64">
        <f>IF(E37&lt;=0,0,12*E33/E37)</f>
        <v/>
      </c>
      <c r="F38" s="64">
        <f>IF(F37&lt;=0,0,12*F33/F37)</f>
        <v/>
      </c>
      <c r="G38" s="64">
        <f>IF(G37&lt;=0,0,12*G33/G37)</f>
        <v/>
      </c>
      <c r="H38" s="64">
        <f>IF(H37&lt;=0,0,12*H33/H37)</f>
        <v/>
      </c>
      <c r="I38" s="64">
        <f>IF(I37&lt;=0,0,12*I33/I37)</f>
        <v/>
      </c>
      <c r="J38" s="64">
        <f>IF(J37&lt;=0,0,12*J33/J37)</f>
        <v/>
      </c>
      <c r="K38" s="64">
        <f>IF(K37&lt;=0,0,12*K33/K37)</f>
        <v/>
      </c>
      <c r="L38" s="64">
        <f>IF(L37&lt;=0,0,12*L33/L37)</f>
        <v/>
      </c>
    </row>
    <row r="40">
      <c r="A40" s="67" t="inlineStr">
        <is>
          <t>No sponsor LTV is shown. It needs a sponsor retention assumption the model does not make, and inventing one here would create a figure nothing else in the plan validates. Payback needs no such assumption, so payback is what is reported.</t>
        </is>
      </c>
    </row>
  </sheetData>
  <mergeCells count="5">
    <mergeCell ref="C2:D2"/>
    <mergeCell ref="G2:H2"/>
    <mergeCell ref="E2:F2"/>
    <mergeCell ref="K2:L2"/>
    <mergeCell ref="I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KPIs: the dozen numbers that describe the business</t>
        </is>
      </c>
    </row>
    <row r="2">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SCALE</t>
        </is>
      </c>
      <c r="B4" s="20" t="n"/>
      <c r="C4" s="20" t="n"/>
      <c r="D4" s="20" t="n"/>
      <c r="E4" s="20" t="n"/>
      <c r="F4" s="20" t="n"/>
      <c r="G4" s="20" t="n"/>
      <c r="H4" s="20" t="n"/>
      <c r="I4" s="20" t="n"/>
      <c r="J4" s="20" t="n"/>
      <c r="K4" s="20" t="n"/>
      <c r="L4" s="20" t="n"/>
    </row>
    <row r="5">
      <c r="A5" s="21" t="inlineStr">
        <is>
          <t>Active athletes</t>
        </is>
      </c>
      <c r="B5" s="22" t="inlineStr">
        <is>
          <t>count</t>
        </is>
      </c>
      <c r="C5" s="25">
        <f>Drivers!C5</f>
        <v/>
      </c>
      <c r="D5" s="25">
        <f>Drivers!D5</f>
        <v/>
      </c>
      <c r="E5" s="25">
        <f>Drivers!E5</f>
        <v/>
      </c>
      <c r="F5" s="25">
        <f>Drivers!F5</f>
        <v/>
      </c>
      <c r="G5" s="25">
        <f>Drivers!G5</f>
        <v/>
      </c>
      <c r="H5" s="25">
        <f>Drivers!H5</f>
        <v/>
      </c>
      <c r="I5" s="25">
        <f>Drivers!I5</f>
        <v/>
      </c>
      <c r="J5" s="25">
        <f>Drivers!J5</f>
        <v/>
      </c>
      <c r="K5" s="25">
        <f>Drivers!K5</f>
        <v/>
      </c>
      <c r="L5" s="25">
        <f>Drivers!L5</f>
        <v/>
      </c>
    </row>
    <row r="6">
      <c r="A6" s="21" t="inlineStr">
        <is>
          <t>Paying fans, year end</t>
        </is>
      </c>
      <c r="B6" s="22" t="inlineStr">
        <is>
          <t>count</t>
        </is>
      </c>
      <c r="C6" s="25">
        <f>Drivers!C38</f>
        <v/>
      </c>
      <c r="D6" s="25">
        <f>Drivers!D38</f>
        <v/>
      </c>
      <c r="E6" s="25">
        <f>Drivers!E38</f>
        <v/>
      </c>
      <c r="F6" s="25">
        <f>Drivers!F38</f>
        <v/>
      </c>
      <c r="G6" s="25">
        <f>Drivers!G38</f>
        <v/>
      </c>
      <c r="H6" s="25">
        <f>Drivers!H38</f>
        <v/>
      </c>
      <c r="I6" s="25">
        <f>Drivers!I38</f>
        <v/>
      </c>
      <c r="J6" s="25">
        <f>Drivers!J38</f>
        <v/>
      </c>
      <c r="K6" s="25">
        <f>Drivers!K38</f>
        <v/>
      </c>
      <c r="L6" s="25">
        <f>Drivers!L38</f>
        <v/>
      </c>
    </row>
    <row r="7">
      <c r="A7" s="21" t="inlineStr">
        <is>
          <t>Paying sponsors</t>
        </is>
      </c>
      <c r="B7" s="22" t="inlineStr">
        <is>
          <t>count</t>
        </is>
      </c>
      <c r="C7" s="25">
        <f>Drivers!C48</f>
        <v/>
      </c>
      <c r="D7" s="25">
        <f>Drivers!D48</f>
        <v/>
      </c>
      <c r="E7" s="25">
        <f>Drivers!E48</f>
        <v/>
      </c>
      <c r="F7" s="25">
        <f>Drivers!F48</f>
        <v/>
      </c>
      <c r="G7" s="25">
        <f>Drivers!G48</f>
        <v/>
      </c>
      <c r="H7" s="25">
        <f>Drivers!H48</f>
        <v/>
      </c>
      <c r="I7" s="25">
        <f>Drivers!I48</f>
        <v/>
      </c>
      <c r="J7" s="25">
        <f>Drivers!J48</f>
        <v/>
      </c>
      <c r="K7" s="25">
        <f>Drivers!K48</f>
        <v/>
      </c>
      <c r="L7" s="25">
        <f>Drivers!L48</f>
        <v/>
      </c>
    </row>
    <row r="8">
      <c r="A8" s="21" t="inlineStr">
        <is>
          <t>Recurring MRR</t>
        </is>
      </c>
      <c r="B8" s="22" t="inlineStr">
        <is>
          <t>subs x take + SaaS / 12</t>
        </is>
      </c>
      <c r="C8" s="38">
        <f>(Revenue!C7*Assumptions!C40+Revenue!C25)/12</f>
        <v/>
      </c>
      <c r="D8" s="38">
        <f>(Revenue!D7*Assumptions!D40+Revenue!D25)/12</f>
        <v/>
      </c>
      <c r="E8" s="38">
        <f>(Revenue!E7*Assumptions!E40+Revenue!E25)/12</f>
        <v/>
      </c>
      <c r="F8" s="38">
        <f>(Revenue!F7*Assumptions!F40+Revenue!F25)/12</f>
        <v/>
      </c>
      <c r="G8" s="38">
        <f>(Revenue!G7*Assumptions!G40+Revenue!G25)/12</f>
        <v/>
      </c>
      <c r="H8" s="38">
        <f>(Revenue!H7*Assumptions!H40+Revenue!H25)/12</f>
        <v/>
      </c>
      <c r="I8" s="38">
        <f>(Revenue!I7*Assumptions!I40+Revenue!I25)/12</f>
        <v/>
      </c>
      <c r="J8" s="38">
        <f>(Revenue!J7*Assumptions!J40+Revenue!J25)/12</f>
        <v/>
      </c>
      <c r="K8" s="38">
        <f>(Revenue!K7*Assumptions!K40+Revenue!K25)/12</f>
        <v/>
      </c>
      <c r="L8" s="38">
        <f>(Revenue!L7*Assumptions!L40+Revenue!L25)/12</f>
        <v/>
      </c>
    </row>
    <row r="10">
      <c r="A10" s="19" t="inlineStr">
        <is>
          <t>QUALITY OF REVENUE</t>
        </is>
      </c>
      <c r="B10" s="20" t="n"/>
      <c r="C10" s="20" t="n"/>
      <c r="D10" s="20" t="n"/>
      <c r="E10" s="20" t="n"/>
      <c r="F10" s="20" t="n"/>
      <c r="G10" s="20" t="n"/>
      <c r="H10" s="20" t="n"/>
      <c r="I10" s="20" t="n"/>
      <c r="J10" s="20" t="n"/>
      <c r="K10" s="20" t="n"/>
      <c r="L10" s="20" t="n"/>
    </row>
    <row r="11">
      <c r="A11" s="21" t="inlineStr">
        <is>
          <t>Net revenue</t>
        </is>
      </c>
      <c r="B11" s="22" t="inlineStr">
        <is>
          <t>EUR</t>
        </is>
      </c>
      <c r="C11" s="38">
        <f>Revenue!C26</f>
        <v/>
      </c>
      <c r="D11" s="38">
        <f>Revenue!D26</f>
        <v/>
      </c>
      <c r="E11" s="38">
        <f>Revenue!E26</f>
        <v/>
      </c>
      <c r="F11" s="38">
        <f>Revenue!F26</f>
        <v/>
      </c>
      <c r="G11" s="38">
        <f>Revenue!G26</f>
        <v/>
      </c>
      <c r="H11" s="38">
        <f>Revenue!H26</f>
        <v/>
      </c>
      <c r="I11" s="38">
        <f>Revenue!I26</f>
        <v/>
      </c>
      <c r="J11" s="38">
        <f>Revenue!J26</f>
        <v/>
      </c>
      <c r="K11" s="38">
        <f>Revenue!K26</f>
        <v/>
      </c>
      <c r="L11" s="38">
        <f>Revenue!L26</f>
        <v/>
      </c>
    </row>
    <row r="12">
      <c r="A12" s="21" t="inlineStr">
        <is>
          <t>Gross margin</t>
        </is>
      </c>
      <c r="B12" s="22" t="inlineStr">
        <is>
          <t>%</t>
        </is>
      </c>
      <c r="C12" s="31">
        <f>'P&amp;L'!C7</f>
        <v/>
      </c>
      <c r="D12" s="31">
        <f>'P&amp;L'!D7</f>
        <v/>
      </c>
      <c r="E12" s="31">
        <f>'P&amp;L'!E7</f>
        <v/>
      </c>
      <c r="F12" s="31">
        <f>'P&amp;L'!F7</f>
        <v/>
      </c>
      <c r="G12" s="31">
        <f>'P&amp;L'!G7</f>
        <v/>
      </c>
      <c r="H12" s="31">
        <f>'P&amp;L'!H7</f>
        <v/>
      </c>
      <c r="I12" s="31">
        <f>'P&amp;L'!I7</f>
        <v/>
      </c>
      <c r="J12" s="31">
        <f>'P&amp;L'!J7</f>
        <v/>
      </c>
      <c r="K12" s="31">
        <f>'P&amp;L'!K7</f>
        <v/>
      </c>
      <c r="L12" s="31">
        <f>'P&amp;L'!L7</f>
        <v/>
      </c>
    </row>
    <row r="13">
      <c r="A13" s="21" t="inlineStr">
        <is>
          <t>EBITDA margin</t>
        </is>
      </c>
      <c r="B13" s="22" t="inlineStr">
        <is>
          <t>%</t>
        </is>
      </c>
      <c r="C13" s="31">
        <f>'P&amp;L'!C11</f>
        <v/>
      </c>
      <c r="D13" s="31">
        <f>'P&amp;L'!D11</f>
        <v/>
      </c>
      <c r="E13" s="31">
        <f>'P&amp;L'!E11</f>
        <v/>
      </c>
      <c r="F13" s="31">
        <f>'P&amp;L'!F11</f>
        <v/>
      </c>
      <c r="G13" s="31">
        <f>'P&amp;L'!G11</f>
        <v/>
      </c>
      <c r="H13" s="31">
        <f>'P&amp;L'!H11</f>
        <v/>
      </c>
      <c r="I13" s="31">
        <f>'P&amp;L'!I11</f>
        <v/>
      </c>
      <c r="J13" s="31">
        <f>'P&amp;L'!J11</f>
        <v/>
      </c>
      <c r="K13" s="31">
        <f>'P&amp;L'!K11</f>
        <v/>
      </c>
      <c r="L13" s="31">
        <f>'P&amp;L'!L11</f>
        <v/>
      </c>
    </row>
    <row r="14">
      <c r="A14" s="21" t="inlineStr">
        <is>
          <t>Revenue per FTE</t>
        </is>
      </c>
      <c r="B14" s="22" t="inlineStr">
        <is>
          <t>EUR</t>
        </is>
      </c>
      <c r="C14" s="38">
        <f>IF(Assumptions!C66=0,0,Revenue!C26/Assumptions!C66)</f>
        <v/>
      </c>
      <c r="D14" s="38">
        <f>IF(Assumptions!D66=0,0,Revenue!D26/Assumptions!D66)</f>
        <v/>
      </c>
      <c r="E14" s="38">
        <f>IF(Assumptions!E66=0,0,Revenue!E26/Assumptions!E66)</f>
        <v/>
      </c>
      <c r="F14" s="38">
        <f>IF(Assumptions!F66=0,0,Revenue!F26/Assumptions!F66)</f>
        <v/>
      </c>
      <c r="G14" s="38">
        <f>IF(Assumptions!G66=0,0,Revenue!G26/Assumptions!G66)</f>
        <v/>
      </c>
      <c r="H14" s="38">
        <f>IF(Assumptions!H66=0,0,Revenue!H26/Assumptions!H66)</f>
        <v/>
      </c>
      <c r="I14" s="38">
        <f>IF(Assumptions!I66=0,0,Revenue!I26/Assumptions!I66)</f>
        <v/>
      </c>
      <c r="J14" s="38">
        <f>IF(Assumptions!J66=0,0,Revenue!J26/Assumptions!J66)</f>
        <v/>
      </c>
      <c r="K14" s="38">
        <f>IF(Assumptions!K66=0,0,Revenue!K26/Assumptions!K66)</f>
        <v/>
      </c>
      <c r="L14" s="38">
        <f>IF(Assumptions!L66=0,0,Revenue!L26/Assumptions!L66)</f>
        <v/>
      </c>
    </row>
    <row r="16">
      <c r="A16" s="19" t="inlineStr">
        <is>
          <t>RETENTION AND EFFICIENCY</t>
        </is>
      </c>
      <c r="B16" s="20" t="n"/>
      <c r="C16" s="20" t="n"/>
      <c r="D16" s="20" t="n"/>
      <c r="E16" s="20" t="n"/>
      <c r="F16" s="20" t="n"/>
      <c r="G16" s="20" t="n"/>
      <c r="H16" s="20" t="n"/>
      <c r="I16" s="20" t="n"/>
      <c r="J16" s="20" t="n"/>
      <c r="K16" s="20" t="n"/>
      <c r="L16" s="20" t="n"/>
    </row>
    <row r="17">
      <c r="A17" s="21" t="inlineStr">
        <is>
          <t>Fan churn, niche</t>
        </is>
      </c>
      <c r="B17" s="22" t="inlineStr">
        <is>
          <t>per month</t>
        </is>
      </c>
      <c r="C17" s="31">
        <f>Assumptions!C13</f>
        <v/>
      </c>
      <c r="D17" s="31">
        <f>Assumptions!D13</f>
        <v/>
      </c>
      <c r="E17" s="31">
        <f>Assumptions!E13</f>
        <v/>
      </c>
      <c r="F17" s="31">
        <f>Assumptions!F13</f>
        <v/>
      </c>
      <c r="G17" s="31">
        <f>Assumptions!G13</f>
        <v/>
      </c>
      <c r="H17" s="31">
        <f>Assumptions!H13</f>
        <v/>
      </c>
      <c r="I17" s="31">
        <f>Assumptions!I13</f>
        <v/>
      </c>
      <c r="J17" s="31">
        <f>Assumptions!J13</f>
        <v/>
      </c>
      <c r="K17" s="31">
        <f>Assumptions!K13</f>
        <v/>
      </c>
      <c r="L17" s="31">
        <f>Assumptions!L13</f>
        <v/>
      </c>
    </row>
    <row r="18">
      <c r="A18" s="21" t="inlineStr">
        <is>
          <t>Athlete churn, niche</t>
        </is>
      </c>
      <c r="B18" s="22" t="inlineStr">
        <is>
          <t>per year</t>
        </is>
      </c>
      <c r="C18" s="31">
        <f>Assumptions!C14</f>
        <v/>
      </c>
      <c r="D18" s="31">
        <f>Assumptions!D14</f>
        <v/>
      </c>
      <c r="E18" s="31">
        <f>Assumptions!E14</f>
        <v/>
      </c>
      <c r="F18" s="31">
        <f>Assumptions!F14</f>
        <v/>
      </c>
      <c r="G18" s="31">
        <f>Assumptions!G14</f>
        <v/>
      </c>
      <c r="H18" s="31">
        <f>Assumptions!H14</f>
        <v/>
      </c>
      <c r="I18" s="31">
        <f>Assumptions!I14</f>
        <v/>
      </c>
      <c r="J18" s="31">
        <f>Assumptions!J14</f>
        <v/>
      </c>
      <c r="K18" s="31">
        <f>Assumptions!K14</f>
        <v/>
      </c>
      <c r="L18" s="31">
        <f>Assumptions!L14</f>
        <v/>
      </c>
    </row>
    <row r="19">
      <c r="A19" s="21" t="inlineStr">
        <is>
          <t>Athlete LTV / CAC</t>
        </is>
      </c>
      <c r="B19" s="22" t="inlineStr">
        <is>
          <t>x</t>
        </is>
      </c>
      <c r="C19" s="39">
        <f>CAC_CLV!C12</f>
        <v/>
      </c>
      <c r="D19" s="39">
        <f>CAC_CLV!D12</f>
        <v/>
      </c>
      <c r="E19" s="39">
        <f>CAC_CLV!E12</f>
        <v/>
      </c>
      <c r="F19" s="39">
        <f>CAC_CLV!F12</f>
        <v/>
      </c>
      <c r="G19" s="39">
        <f>CAC_CLV!G12</f>
        <v/>
      </c>
      <c r="H19" s="39">
        <f>CAC_CLV!H12</f>
        <v/>
      </c>
      <c r="I19" s="39">
        <f>CAC_CLV!I12</f>
        <v/>
      </c>
      <c r="J19" s="39">
        <f>CAC_CLV!J12</f>
        <v/>
      </c>
      <c r="K19" s="39">
        <f>CAC_CLV!K12</f>
        <v/>
      </c>
      <c r="L19" s="39">
        <f>CAC_CLV!L12</f>
        <v/>
      </c>
    </row>
    <row r="20">
      <c r="A20" s="21" t="inlineStr">
        <is>
          <t>Take rate on GMV</t>
        </is>
      </c>
      <c r="B20" s="22" t="inlineStr">
        <is>
          <t>%</t>
        </is>
      </c>
      <c r="C20" s="31">
        <f>Revenue!C28</f>
        <v/>
      </c>
      <c r="D20" s="31">
        <f>Revenue!D28</f>
        <v/>
      </c>
      <c r="E20" s="31">
        <f>Revenue!E28</f>
        <v/>
      </c>
      <c r="F20" s="31">
        <f>Revenue!F28</f>
        <v/>
      </c>
      <c r="G20" s="31">
        <f>Revenue!G28</f>
        <v/>
      </c>
      <c r="H20" s="31">
        <f>Revenue!H28</f>
        <v/>
      </c>
      <c r="I20" s="31">
        <f>Revenue!I28</f>
        <v/>
      </c>
      <c r="J20" s="31">
        <f>Revenue!J28</f>
        <v/>
      </c>
      <c r="K20" s="31">
        <f>Revenue!K28</f>
        <v/>
      </c>
      <c r="L20" s="31">
        <f>Revenue!L28</f>
        <v/>
      </c>
    </row>
  </sheetData>
  <mergeCells count="5">
    <mergeCell ref="C2:D2"/>
    <mergeCell ref="G2:H2"/>
    <mergeCell ref="E2:F2"/>
    <mergeCell ref="K2:L2"/>
    <mergeCell ref="I2:J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7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Check: Excel's own answers against the Python model</t>
        </is>
      </c>
    </row>
    <row r="2">
      <c r="A2" s="73" t="inlineStr">
        <is>
          <t>Each pair is the Python model's figure and the workbook's own calculation. VARIANCE must be zero: if a formula is wrong, it shows up here on open.</t>
        </is>
      </c>
      <c r="C2" s="11" t="inlineStr">
        <is>
          <t>Input: change me</t>
        </is>
      </c>
      <c r="D2" s="12" t="n"/>
      <c r="E2" s="13" t="inlineStr">
        <is>
          <t>Sourced fact</t>
        </is>
      </c>
      <c r="F2" s="12" t="n"/>
      <c r="G2" s="14" t="inlineStr">
        <is>
          <t>Formula (this sheet)</t>
        </is>
      </c>
      <c r="H2" s="12" t="n"/>
      <c r="I2" s="15" t="inlineStr">
        <is>
          <t>Formula (other sheet)</t>
        </is>
      </c>
      <c r="J2" s="12" t="n"/>
      <c r="K2" s="16" t="inlineStr">
        <is>
          <t>Total</t>
        </is>
      </c>
      <c r="L2" s="12" t="n"/>
    </row>
    <row r="3">
      <c r="A3" s="17" t="inlineStr">
        <is>
          <t>Line</t>
        </is>
      </c>
      <c r="B3" s="17" t="inlineStr">
        <is>
          <t>Unit</t>
        </is>
      </c>
      <c r="C3" s="18" t="inlineStr">
        <is>
          <t>Y1</t>
        </is>
      </c>
      <c r="D3" s="18" t="inlineStr">
        <is>
          <t>Y2</t>
        </is>
      </c>
      <c r="E3" s="18" t="inlineStr">
        <is>
          <t>Y3</t>
        </is>
      </c>
      <c r="F3" s="18" t="inlineStr">
        <is>
          <t>Y4</t>
        </is>
      </c>
      <c r="G3" s="18" t="inlineStr">
        <is>
          <t>Y5</t>
        </is>
      </c>
      <c r="H3" s="18" t="inlineStr">
        <is>
          <t>Y6</t>
        </is>
      </c>
      <c r="I3" s="18" t="inlineStr">
        <is>
          <t>Y7</t>
        </is>
      </c>
      <c r="J3" s="18" t="inlineStr">
        <is>
          <t>Y8</t>
        </is>
      </c>
      <c r="K3" s="18" t="inlineStr">
        <is>
          <t>Y9</t>
        </is>
      </c>
      <c r="L3" s="18" t="inlineStr">
        <is>
          <t>Y10</t>
        </is>
      </c>
    </row>
    <row r="4">
      <c r="A4" s="19" t="inlineStr">
        <is>
          <t>NET REVENUE</t>
        </is>
      </c>
      <c r="B4" s="20" t="n"/>
      <c r="C4" s="20" t="n"/>
      <c r="D4" s="20" t="n"/>
      <c r="E4" s="20" t="n"/>
      <c r="F4" s="20" t="n"/>
      <c r="G4" s="20" t="n"/>
      <c r="H4" s="20" t="n"/>
      <c r="I4" s="20" t="n"/>
      <c r="J4" s="20" t="n"/>
      <c r="K4" s="20" t="n"/>
      <c r="L4" s="20" t="n"/>
    </row>
    <row r="5">
      <c r="A5" s="21" t="inlineStr">
        <is>
          <t xml:space="preserve">  Python model</t>
        </is>
      </c>
      <c r="B5" s="22" t="inlineStr">
        <is>
          <t>model.py</t>
        </is>
      </c>
      <c r="C5" s="30" t="n">
        <v>24669.76341521453</v>
      </c>
      <c r="D5" s="30" t="n">
        <v>133178.2880463835</v>
      </c>
      <c r="E5" s="30" t="n">
        <v>525298.3247152992</v>
      </c>
      <c r="F5" s="30" t="n">
        <v>1461114.443252258</v>
      </c>
      <c r="G5" s="30" t="n">
        <v>3293651.857395386</v>
      </c>
      <c r="H5" s="30" t="n">
        <v>6223273.225603884</v>
      </c>
      <c r="I5" s="30" t="n">
        <v>10161583.54945481</v>
      </c>
      <c r="J5" s="30" t="n">
        <v>14573482.1876938</v>
      </c>
      <c r="K5" s="30" t="n">
        <v>18838964.40469826</v>
      </c>
      <c r="L5" s="30" t="n">
        <v>23911467.67929958</v>
      </c>
    </row>
    <row r="6">
      <c r="A6" s="21" t="inlineStr">
        <is>
          <t xml:space="preserve">  This workbook</t>
        </is>
      </c>
      <c r="B6" s="22" t="inlineStr">
        <is>
          <t>recalculated</t>
        </is>
      </c>
      <c r="C6" s="38">
        <f>Revenue!C26</f>
        <v/>
      </c>
      <c r="D6" s="38">
        <f>Revenue!D26</f>
        <v/>
      </c>
      <c r="E6" s="38">
        <f>Revenue!E26</f>
        <v/>
      </c>
      <c r="F6" s="38">
        <f>Revenue!F26</f>
        <v/>
      </c>
      <c r="G6" s="38">
        <f>Revenue!G26</f>
        <v/>
      </c>
      <c r="H6" s="38">
        <f>Revenue!H26</f>
        <v/>
      </c>
      <c r="I6" s="38">
        <f>Revenue!I26</f>
        <v/>
      </c>
      <c r="J6" s="38">
        <f>Revenue!J26</f>
        <v/>
      </c>
      <c r="K6" s="38">
        <f>Revenue!K26</f>
        <v/>
      </c>
      <c r="L6" s="38">
        <f>Revenue!L26</f>
        <v/>
      </c>
    </row>
    <row r="7">
      <c r="A7" s="47" t="inlineStr">
        <is>
          <t xml:space="preserve">  VARIANCE</t>
        </is>
      </c>
      <c r="B7" s="48" t="inlineStr">
        <is>
          <t>must be 0</t>
        </is>
      </c>
      <c r="C7" s="74">
        <f>ROUND(C6-C5,0)</f>
        <v/>
      </c>
      <c r="D7" s="74">
        <f>ROUND(D6-D5,0)</f>
        <v/>
      </c>
      <c r="E7" s="74">
        <f>ROUND(E6-E5,0)</f>
        <v/>
      </c>
      <c r="F7" s="74">
        <f>ROUND(F6-F5,0)</f>
        <v/>
      </c>
      <c r="G7" s="74">
        <f>ROUND(G6-G5,0)</f>
        <v/>
      </c>
      <c r="H7" s="74">
        <f>ROUND(H6-H5,0)</f>
        <v/>
      </c>
      <c r="I7" s="74">
        <f>ROUND(I6-I5,0)</f>
        <v/>
      </c>
      <c r="J7" s="74">
        <f>ROUND(J6-J5,0)</f>
        <v/>
      </c>
      <c r="K7" s="74">
        <f>ROUND(K6-K5,0)</f>
        <v/>
      </c>
      <c r="L7" s="74">
        <f>ROUND(L6-L5,0)</f>
        <v/>
      </c>
    </row>
    <row r="9">
      <c r="A9" s="19" t="inlineStr">
        <is>
          <t>COST OF SALES</t>
        </is>
      </c>
      <c r="B9" s="20" t="n"/>
      <c r="C9" s="20" t="n"/>
      <c r="D9" s="20" t="n"/>
      <c r="E9" s="20" t="n"/>
      <c r="F9" s="20" t="n"/>
      <c r="G9" s="20" t="n"/>
      <c r="H9" s="20" t="n"/>
      <c r="I9" s="20" t="n"/>
      <c r="J9" s="20" t="n"/>
      <c r="K9" s="20" t="n"/>
      <c r="L9" s="20" t="n"/>
    </row>
    <row r="10">
      <c r="A10" s="21" t="inlineStr">
        <is>
          <t xml:space="preserve">  Python model</t>
        </is>
      </c>
      <c r="B10" s="22" t="inlineStr">
        <is>
          <t>model.py</t>
        </is>
      </c>
      <c r="C10" s="30" t="n">
        <v>13341.24768695526</v>
      </c>
      <c r="D10" s="30" t="n">
        <v>57150.57058755679</v>
      </c>
      <c r="E10" s="30" t="n">
        <v>191124.199633203</v>
      </c>
      <c r="F10" s="30" t="n">
        <v>503136.2247638087</v>
      </c>
      <c r="G10" s="30" t="n">
        <v>1098498.035916488</v>
      </c>
      <c r="H10" s="30" t="n">
        <v>2007711.980962103</v>
      </c>
      <c r="I10" s="30" t="n">
        <v>3213122.986615158</v>
      </c>
      <c r="J10" s="30" t="n">
        <v>4546711.090869308</v>
      </c>
      <c r="K10" s="30" t="n">
        <v>5865675.995384405</v>
      </c>
      <c r="L10" s="30" t="n">
        <v>7377275.550758523</v>
      </c>
    </row>
    <row r="11">
      <c r="A11" s="21" t="inlineStr">
        <is>
          <t xml:space="preserve">  This workbook</t>
        </is>
      </c>
      <c r="B11" s="22" t="inlineStr">
        <is>
          <t>recalculated</t>
        </is>
      </c>
      <c r="C11" s="38">
        <f>Costs!C14</f>
        <v/>
      </c>
      <c r="D11" s="38">
        <f>Costs!D14</f>
        <v/>
      </c>
      <c r="E11" s="38">
        <f>Costs!E14</f>
        <v/>
      </c>
      <c r="F11" s="38">
        <f>Costs!F14</f>
        <v/>
      </c>
      <c r="G11" s="38">
        <f>Costs!G14</f>
        <v/>
      </c>
      <c r="H11" s="38">
        <f>Costs!H14</f>
        <v/>
      </c>
      <c r="I11" s="38">
        <f>Costs!I14</f>
        <v/>
      </c>
      <c r="J11" s="38">
        <f>Costs!J14</f>
        <v/>
      </c>
      <c r="K11" s="38">
        <f>Costs!K14</f>
        <v/>
      </c>
      <c r="L11" s="38">
        <f>Costs!L14</f>
        <v/>
      </c>
    </row>
    <row r="12">
      <c r="A12" s="47" t="inlineStr">
        <is>
          <t xml:space="preserve">  VARIANCE</t>
        </is>
      </c>
      <c r="B12" s="48" t="inlineStr">
        <is>
          <t>must be 0</t>
        </is>
      </c>
      <c r="C12" s="74">
        <f>ROUND(C11-C10,0)</f>
        <v/>
      </c>
      <c r="D12" s="74">
        <f>ROUND(D11-D10,0)</f>
        <v/>
      </c>
      <c r="E12" s="74">
        <f>ROUND(E11-E10,0)</f>
        <v/>
      </c>
      <c r="F12" s="74">
        <f>ROUND(F11-F10,0)</f>
        <v/>
      </c>
      <c r="G12" s="74">
        <f>ROUND(G11-G10,0)</f>
        <v/>
      </c>
      <c r="H12" s="74">
        <f>ROUND(H11-H10,0)</f>
        <v/>
      </c>
      <c r="I12" s="74">
        <f>ROUND(I11-I10,0)</f>
        <v/>
      </c>
      <c r="J12" s="74">
        <f>ROUND(J11-J10,0)</f>
        <v/>
      </c>
      <c r="K12" s="74">
        <f>ROUND(K11-K10,0)</f>
        <v/>
      </c>
      <c r="L12" s="74">
        <f>ROUND(L11-L10,0)</f>
        <v/>
      </c>
    </row>
    <row r="14">
      <c r="A14" s="19" t="inlineStr">
        <is>
          <t>GROSS PROFIT</t>
        </is>
      </c>
      <c r="B14" s="20" t="n"/>
      <c r="C14" s="20" t="n"/>
      <c r="D14" s="20" t="n"/>
      <c r="E14" s="20" t="n"/>
      <c r="F14" s="20" t="n"/>
      <c r="G14" s="20" t="n"/>
      <c r="H14" s="20" t="n"/>
      <c r="I14" s="20" t="n"/>
      <c r="J14" s="20" t="n"/>
      <c r="K14" s="20" t="n"/>
      <c r="L14" s="20" t="n"/>
    </row>
    <row r="15">
      <c r="A15" s="21" t="inlineStr">
        <is>
          <t xml:space="preserve">  Python model</t>
        </is>
      </c>
      <c r="B15" s="22" t="inlineStr">
        <is>
          <t>model.py</t>
        </is>
      </c>
      <c r="C15" s="30" t="n">
        <v>11328.51572825927</v>
      </c>
      <c r="D15" s="30" t="n">
        <v>76027.71745882675</v>
      </c>
      <c r="E15" s="30" t="n">
        <v>334174.1250820962</v>
      </c>
      <c r="F15" s="30" t="n">
        <v>957978.2184884488</v>
      </c>
      <c r="G15" s="30" t="n">
        <v>2195153.821478899</v>
      </c>
      <c r="H15" s="30" t="n">
        <v>4215561.244641781</v>
      </c>
      <c r="I15" s="30" t="n">
        <v>6948460.562839656</v>
      </c>
      <c r="J15" s="30" t="n">
        <v>10026771.09682449</v>
      </c>
      <c r="K15" s="30" t="n">
        <v>12973288.40931385</v>
      </c>
      <c r="L15" s="30" t="n">
        <v>16534192.12854106</v>
      </c>
    </row>
    <row r="16">
      <c r="A16" s="21" t="inlineStr">
        <is>
          <t xml:space="preserve">  This workbook</t>
        </is>
      </c>
      <c r="B16" s="22" t="inlineStr">
        <is>
          <t>recalculated</t>
        </is>
      </c>
      <c r="C16" s="38">
        <f>'P&amp;L'!C6</f>
        <v/>
      </c>
      <c r="D16" s="38">
        <f>'P&amp;L'!D6</f>
        <v/>
      </c>
      <c r="E16" s="38">
        <f>'P&amp;L'!E6</f>
        <v/>
      </c>
      <c r="F16" s="38">
        <f>'P&amp;L'!F6</f>
        <v/>
      </c>
      <c r="G16" s="38">
        <f>'P&amp;L'!G6</f>
        <v/>
      </c>
      <c r="H16" s="38">
        <f>'P&amp;L'!H6</f>
        <v/>
      </c>
      <c r="I16" s="38">
        <f>'P&amp;L'!I6</f>
        <v/>
      </c>
      <c r="J16" s="38">
        <f>'P&amp;L'!J6</f>
        <v/>
      </c>
      <c r="K16" s="38">
        <f>'P&amp;L'!K6</f>
        <v/>
      </c>
      <c r="L16" s="38">
        <f>'P&amp;L'!L6</f>
        <v/>
      </c>
    </row>
    <row r="17">
      <c r="A17" s="47" t="inlineStr">
        <is>
          <t xml:space="preserve">  VARIANCE</t>
        </is>
      </c>
      <c r="B17" s="48" t="inlineStr">
        <is>
          <t>must be 0</t>
        </is>
      </c>
      <c r="C17" s="74">
        <f>ROUND(C16-C15,0)</f>
        <v/>
      </c>
      <c r="D17" s="74">
        <f>ROUND(D16-D15,0)</f>
        <v/>
      </c>
      <c r="E17" s="74">
        <f>ROUND(E16-E15,0)</f>
        <v/>
      </c>
      <c r="F17" s="74">
        <f>ROUND(F16-F15,0)</f>
        <v/>
      </c>
      <c r="G17" s="74">
        <f>ROUND(G16-G15,0)</f>
        <v/>
      </c>
      <c r="H17" s="74">
        <f>ROUND(H16-H15,0)</f>
        <v/>
      </c>
      <c r="I17" s="74">
        <f>ROUND(I16-I15,0)</f>
        <v/>
      </c>
      <c r="J17" s="74">
        <f>ROUND(J16-J15,0)</f>
        <v/>
      </c>
      <c r="K17" s="74">
        <f>ROUND(K16-K15,0)</f>
        <v/>
      </c>
      <c r="L17" s="74">
        <f>ROUND(L16-L15,0)</f>
        <v/>
      </c>
    </row>
    <row r="19">
      <c r="A19" s="19" t="inlineStr">
        <is>
          <t>OPERATING COSTS</t>
        </is>
      </c>
      <c r="B19" s="20" t="n"/>
      <c r="C19" s="20" t="n"/>
      <c r="D19" s="20" t="n"/>
      <c r="E19" s="20" t="n"/>
      <c r="F19" s="20" t="n"/>
      <c r="G19" s="20" t="n"/>
      <c r="H19" s="20" t="n"/>
      <c r="I19" s="20" t="n"/>
      <c r="J19" s="20" t="n"/>
      <c r="K19" s="20" t="n"/>
      <c r="L19" s="20" t="n"/>
    </row>
    <row r="20">
      <c r="A20" s="21" t="inlineStr">
        <is>
          <t xml:space="preserve">  Python model</t>
        </is>
      </c>
      <c r="B20" s="22" t="inlineStr">
        <is>
          <t>model.py</t>
        </is>
      </c>
      <c r="C20" s="30" t="n">
        <v>106353.5810732172</v>
      </c>
      <c r="D20" s="30" t="n">
        <v>246573.4630437107</v>
      </c>
      <c r="E20" s="30" t="n">
        <v>571042.425977224</v>
      </c>
      <c r="F20" s="30" t="n">
        <v>1170801.155460181</v>
      </c>
      <c r="G20" s="30" t="n">
        <v>2038784.148591631</v>
      </c>
      <c r="H20" s="30" t="n">
        <v>3055988.758048311</v>
      </c>
      <c r="I20" s="30" t="n">
        <v>4326886.683956385</v>
      </c>
      <c r="J20" s="30" t="n">
        <v>5336742.575015504</v>
      </c>
      <c r="K20" s="30" t="n">
        <v>6074427.15237586</v>
      </c>
      <c r="L20" s="30" t="n">
        <v>7093002.214343966</v>
      </c>
    </row>
    <row r="21">
      <c r="A21" s="21" t="inlineStr">
        <is>
          <t xml:space="preserve">  This workbook</t>
        </is>
      </c>
      <c r="B21" s="22" t="inlineStr">
        <is>
          <t>recalculated</t>
        </is>
      </c>
      <c r="C21" s="38">
        <f>Costs!C25</f>
        <v/>
      </c>
      <c r="D21" s="38">
        <f>Costs!D25</f>
        <v/>
      </c>
      <c r="E21" s="38">
        <f>Costs!E25</f>
        <v/>
      </c>
      <c r="F21" s="38">
        <f>Costs!F25</f>
        <v/>
      </c>
      <c r="G21" s="38">
        <f>Costs!G25</f>
        <v/>
      </c>
      <c r="H21" s="38">
        <f>Costs!H25</f>
        <v/>
      </c>
      <c r="I21" s="38">
        <f>Costs!I25</f>
        <v/>
      </c>
      <c r="J21" s="38">
        <f>Costs!J25</f>
        <v/>
      </c>
      <c r="K21" s="38">
        <f>Costs!K25</f>
        <v/>
      </c>
      <c r="L21" s="38">
        <f>Costs!L25</f>
        <v/>
      </c>
    </row>
    <row r="22">
      <c r="A22" s="47" t="inlineStr">
        <is>
          <t xml:space="preserve">  VARIANCE</t>
        </is>
      </c>
      <c r="B22" s="48" t="inlineStr">
        <is>
          <t>must be 0</t>
        </is>
      </c>
      <c r="C22" s="74">
        <f>ROUND(C21-C20,0)</f>
        <v/>
      </c>
      <c r="D22" s="74">
        <f>ROUND(D21-D20,0)</f>
        <v/>
      </c>
      <c r="E22" s="74">
        <f>ROUND(E21-E20,0)</f>
        <v/>
      </c>
      <c r="F22" s="74">
        <f>ROUND(F21-F20,0)</f>
        <v/>
      </c>
      <c r="G22" s="74">
        <f>ROUND(G21-G20,0)</f>
        <v/>
      </c>
      <c r="H22" s="74">
        <f>ROUND(H21-H20,0)</f>
        <v/>
      </c>
      <c r="I22" s="74">
        <f>ROUND(I21-I20,0)</f>
        <v/>
      </c>
      <c r="J22" s="74">
        <f>ROUND(J21-J20,0)</f>
        <v/>
      </c>
      <c r="K22" s="74">
        <f>ROUND(K21-K20,0)</f>
        <v/>
      </c>
      <c r="L22" s="74">
        <f>ROUND(L21-L20,0)</f>
        <v/>
      </c>
    </row>
    <row r="24">
      <c r="A24" s="19" t="inlineStr">
        <is>
          <t>EBITDA</t>
        </is>
      </c>
      <c r="B24" s="20" t="n"/>
      <c r="C24" s="20" t="n"/>
      <c r="D24" s="20" t="n"/>
      <c r="E24" s="20" t="n"/>
      <c r="F24" s="20" t="n"/>
      <c r="G24" s="20" t="n"/>
      <c r="H24" s="20" t="n"/>
      <c r="I24" s="20" t="n"/>
      <c r="J24" s="20" t="n"/>
      <c r="K24" s="20" t="n"/>
      <c r="L24" s="20" t="n"/>
    </row>
    <row r="25">
      <c r="A25" s="21" t="inlineStr">
        <is>
          <t xml:space="preserve">  Python model</t>
        </is>
      </c>
      <c r="B25" s="22" t="inlineStr">
        <is>
          <t>model.py</t>
        </is>
      </c>
      <c r="C25" s="30" t="n">
        <v>-95025.0653449579</v>
      </c>
      <c r="D25" s="30" t="n">
        <v>-170545.7455848839</v>
      </c>
      <c r="E25" s="30" t="n">
        <v>-236868.3008951278</v>
      </c>
      <c r="F25" s="30" t="n">
        <v>-212822.9369717319</v>
      </c>
      <c r="G25" s="30" t="n">
        <v>156369.6728872678</v>
      </c>
      <c r="H25" s="30" t="n">
        <v>1159572.48659347</v>
      </c>
      <c r="I25" s="30" t="n">
        <v>2621573.878883271</v>
      </c>
      <c r="J25" s="30" t="n">
        <v>4690028.521808989</v>
      </c>
      <c r="K25" s="30" t="n">
        <v>6898861.25693799</v>
      </c>
      <c r="L25" s="30" t="n">
        <v>9441189.914197091</v>
      </c>
    </row>
    <row r="26">
      <c r="A26" s="21" t="inlineStr">
        <is>
          <t xml:space="preserve">  This workbook</t>
        </is>
      </c>
      <c r="B26" s="22" t="inlineStr">
        <is>
          <t>recalculated</t>
        </is>
      </c>
      <c r="C26" s="38">
        <f>'P&amp;L'!C10</f>
        <v/>
      </c>
      <c r="D26" s="38">
        <f>'P&amp;L'!D10</f>
        <v/>
      </c>
      <c r="E26" s="38">
        <f>'P&amp;L'!E10</f>
        <v/>
      </c>
      <c r="F26" s="38">
        <f>'P&amp;L'!F10</f>
        <v/>
      </c>
      <c r="G26" s="38">
        <f>'P&amp;L'!G10</f>
        <v/>
      </c>
      <c r="H26" s="38">
        <f>'P&amp;L'!H10</f>
        <v/>
      </c>
      <c r="I26" s="38">
        <f>'P&amp;L'!I10</f>
        <v/>
      </c>
      <c r="J26" s="38">
        <f>'P&amp;L'!J10</f>
        <v/>
      </c>
      <c r="K26" s="38">
        <f>'P&amp;L'!K10</f>
        <v/>
      </c>
      <c r="L26" s="38">
        <f>'P&amp;L'!L10</f>
        <v/>
      </c>
    </row>
    <row r="27">
      <c r="A27" s="47" t="inlineStr">
        <is>
          <t xml:space="preserve">  VARIANCE</t>
        </is>
      </c>
      <c r="B27" s="48" t="inlineStr">
        <is>
          <t>must be 0</t>
        </is>
      </c>
      <c r="C27" s="74">
        <f>ROUND(C26-C25,0)</f>
        <v/>
      </c>
      <c r="D27" s="74">
        <f>ROUND(D26-D25,0)</f>
        <v/>
      </c>
      <c r="E27" s="74">
        <f>ROUND(E26-E25,0)</f>
        <v/>
      </c>
      <c r="F27" s="74">
        <f>ROUND(F26-F25,0)</f>
        <v/>
      </c>
      <c r="G27" s="74">
        <f>ROUND(G26-G25,0)</f>
        <v/>
      </c>
      <c r="H27" s="74">
        <f>ROUND(H26-H25,0)</f>
        <v/>
      </c>
      <c r="I27" s="74">
        <f>ROUND(I26-I25,0)</f>
        <v/>
      </c>
      <c r="J27" s="74">
        <f>ROUND(J26-J25,0)</f>
        <v/>
      </c>
      <c r="K27" s="74">
        <f>ROUND(K26-K25,0)</f>
        <v/>
      </c>
      <c r="L27" s="74">
        <f>ROUND(L26-L25,0)</f>
        <v/>
      </c>
    </row>
    <row r="29">
      <c r="A29" s="19" t="inlineStr">
        <is>
          <t>PAYING FANS (YEAR END)</t>
        </is>
      </c>
      <c r="B29" s="20" t="n"/>
      <c r="C29" s="20" t="n"/>
      <c r="D29" s="20" t="n"/>
      <c r="E29" s="20" t="n"/>
      <c r="F29" s="20" t="n"/>
      <c r="G29" s="20" t="n"/>
      <c r="H29" s="20" t="n"/>
      <c r="I29" s="20" t="n"/>
      <c r="J29" s="20" t="n"/>
      <c r="K29" s="20" t="n"/>
      <c r="L29" s="20" t="n"/>
    </row>
    <row r="30">
      <c r="A30" s="21" t="inlineStr">
        <is>
          <t xml:space="preserve">  Python model</t>
        </is>
      </c>
      <c r="B30" s="22" t="inlineStr">
        <is>
          <t>model.py</t>
        </is>
      </c>
      <c r="C30" s="23" t="n">
        <v>2057.84174041374</v>
      </c>
      <c r="D30" s="23" t="n">
        <v>8148.23494677803</v>
      </c>
      <c r="E30" s="23" t="n">
        <v>25287.70242113075</v>
      </c>
      <c r="F30" s="23" t="n">
        <v>60196.82975290195</v>
      </c>
      <c r="G30" s="23" t="n">
        <v>120075.7365173497</v>
      </c>
      <c r="H30" s="23" t="n">
        <v>206657.9512122322</v>
      </c>
      <c r="I30" s="23" t="n">
        <v>321288</v>
      </c>
      <c r="J30" s="23" t="n">
        <v>434075.5999999999</v>
      </c>
      <c r="K30" s="23" t="n">
        <v>553628.8000000002</v>
      </c>
      <c r="L30" s="23" t="n">
        <v>665896</v>
      </c>
    </row>
    <row r="31">
      <c r="A31" s="21" t="inlineStr">
        <is>
          <t xml:space="preserve">  This workbook</t>
        </is>
      </c>
      <c r="B31" s="22" t="inlineStr">
        <is>
          <t>recalculated</t>
        </is>
      </c>
      <c r="C31" s="25">
        <f>Drivers!C38</f>
        <v/>
      </c>
      <c r="D31" s="25">
        <f>Drivers!D38</f>
        <v/>
      </c>
      <c r="E31" s="25">
        <f>Drivers!E38</f>
        <v/>
      </c>
      <c r="F31" s="25">
        <f>Drivers!F38</f>
        <v/>
      </c>
      <c r="G31" s="25">
        <f>Drivers!G38</f>
        <v/>
      </c>
      <c r="H31" s="25">
        <f>Drivers!H38</f>
        <v/>
      </c>
      <c r="I31" s="25">
        <f>Drivers!I38</f>
        <v/>
      </c>
      <c r="J31" s="25">
        <f>Drivers!J38</f>
        <v/>
      </c>
      <c r="K31" s="25">
        <f>Drivers!K38</f>
        <v/>
      </c>
      <c r="L31" s="25">
        <f>Drivers!L38</f>
        <v/>
      </c>
    </row>
    <row r="32">
      <c r="A32" s="47" t="inlineStr">
        <is>
          <t xml:space="preserve">  VARIANCE</t>
        </is>
      </c>
      <c r="B32" s="48" t="inlineStr">
        <is>
          <t>must be 0</t>
        </is>
      </c>
      <c r="C32" s="75">
        <f>ROUND(C31-C30,0)</f>
        <v/>
      </c>
      <c r="D32" s="75">
        <f>ROUND(D31-D30,0)</f>
        <v/>
      </c>
      <c r="E32" s="75">
        <f>ROUND(E31-E30,0)</f>
        <v/>
      </c>
      <c r="F32" s="75">
        <f>ROUND(F31-F30,0)</f>
        <v/>
      </c>
      <c r="G32" s="75">
        <f>ROUND(G31-G30,0)</f>
        <v/>
      </c>
      <c r="H32" s="75">
        <f>ROUND(H31-H30,0)</f>
        <v/>
      </c>
      <c r="I32" s="75">
        <f>ROUND(I31-I30,0)</f>
        <v/>
      </c>
      <c r="J32" s="75">
        <f>ROUND(J31-J30,0)</f>
        <v/>
      </c>
      <c r="K32" s="75">
        <f>ROUND(K31-K30,0)</f>
        <v/>
      </c>
      <c r="L32" s="75">
        <f>ROUND(L31-L30,0)</f>
        <v/>
      </c>
    </row>
    <row r="34">
      <c r="A34" s="19" t="inlineStr">
        <is>
          <t>AVERAGE PAYING FANS</t>
        </is>
      </c>
      <c r="B34" s="20" t="n"/>
      <c r="C34" s="20" t="n"/>
      <c r="D34" s="20" t="n"/>
      <c r="E34" s="20" t="n"/>
      <c r="F34" s="20" t="n"/>
      <c r="G34" s="20" t="n"/>
      <c r="H34" s="20" t="n"/>
      <c r="I34" s="20" t="n"/>
      <c r="J34" s="20" t="n"/>
      <c r="K34" s="20" t="n"/>
      <c r="L34" s="20" t="n"/>
    </row>
    <row r="35">
      <c r="A35" s="21" t="inlineStr">
        <is>
          <t xml:space="preserve">  Python model</t>
        </is>
      </c>
      <c r="B35" s="22" t="inlineStr">
        <is>
          <t>model.py</t>
        </is>
      </c>
      <c r="C35" s="23" t="n">
        <v>1305.616369213765</v>
      </c>
      <c r="D35" s="23" t="n">
        <v>5897.122422019523</v>
      </c>
      <c r="E35" s="23" t="n">
        <v>18938.52415509884</v>
      </c>
      <c r="F35" s="23" t="n">
        <v>47228.17401009858</v>
      </c>
      <c r="G35" s="23" t="n">
        <v>97836.51656978924</v>
      </c>
      <c r="H35" s="23" t="n">
        <v>174457.6422218148</v>
      </c>
      <c r="I35" s="23" t="n">
        <v>277910.9888438896</v>
      </c>
      <c r="J35" s="23" t="n">
        <v>391108.4765464211</v>
      </c>
      <c r="K35" s="23" t="n">
        <v>507748.2506421141</v>
      </c>
      <c r="L35" s="23" t="n">
        <v>622730.6704958598</v>
      </c>
    </row>
    <row r="36">
      <c r="A36" s="21" t="inlineStr">
        <is>
          <t xml:space="preserve">  This workbook</t>
        </is>
      </c>
      <c r="B36" s="22" t="inlineStr">
        <is>
          <t>recalculated</t>
        </is>
      </c>
      <c r="C36" s="25">
        <f>Drivers!C39</f>
        <v/>
      </c>
      <c r="D36" s="25">
        <f>Drivers!D39</f>
        <v/>
      </c>
      <c r="E36" s="25">
        <f>Drivers!E39</f>
        <v/>
      </c>
      <c r="F36" s="25">
        <f>Drivers!F39</f>
        <v/>
      </c>
      <c r="G36" s="25">
        <f>Drivers!G39</f>
        <v/>
      </c>
      <c r="H36" s="25">
        <f>Drivers!H39</f>
        <v/>
      </c>
      <c r="I36" s="25">
        <f>Drivers!I39</f>
        <v/>
      </c>
      <c r="J36" s="25">
        <f>Drivers!J39</f>
        <v/>
      </c>
      <c r="K36" s="25">
        <f>Drivers!K39</f>
        <v/>
      </c>
      <c r="L36" s="25">
        <f>Drivers!L39</f>
        <v/>
      </c>
    </row>
    <row r="37">
      <c r="A37" s="47" t="inlineStr">
        <is>
          <t xml:space="preserve">  VARIANCE</t>
        </is>
      </c>
      <c r="B37" s="48" t="inlineStr">
        <is>
          <t>must be 0</t>
        </is>
      </c>
      <c r="C37" s="75">
        <f>ROUND(C36-C35,0)</f>
        <v/>
      </c>
      <c r="D37" s="75">
        <f>ROUND(D36-D35,0)</f>
        <v/>
      </c>
      <c r="E37" s="75">
        <f>ROUND(E36-E35,0)</f>
        <v/>
      </c>
      <c r="F37" s="75">
        <f>ROUND(F36-F35,0)</f>
        <v/>
      </c>
      <c r="G37" s="75">
        <f>ROUND(G36-G35,0)</f>
        <v/>
      </c>
      <c r="H37" s="75">
        <f>ROUND(H36-H35,0)</f>
        <v/>
      </c>
      <c r="I37" s="75">
        <f>ROUND(I36-I35,0)</f>
        <v/>
      </c>
      <c r="J37" s="75">
        <f>ROUND(J36-J35,0)</f>
        <v/>
      </c>
      <c r="K37" s="75">
        <f>ROUND(K36-K35,0)</f>
        <v/>
      </c>
      <c r="L37" s="75">
        <f>ROUND(L36-L35,0)</f>
        <v/>
      </c>
    </row>
    <row r="39">
      <c r="A39" s="19" t="inlineStr">
        <is>
          <t>TOTAL GMV</t>
        </is>
      </c>
      <c r="B39" s="20" t="n"/>
      <c r="C39" s="20" t="n"/>
      <c r="D39" s="20" t="n"/>
      <c r="E39" s="20" t="n"/>
      <c r="F39" s="20" t="n"/>
      <c r="G39" s="20" t="n"/>
      <c r="H39" s="20" t="n"/>
      <c r="I39" s="20" t="n"/>
      <c r="J39" s="20" t="n"/>
      <c r="K39" s="20" t="n"/>
      <c r="L39" s="20" t="n"/>
    </row>
    <row r="40">
      <c r="A40" s="21" t="inlineStr">
        <is>
          <t xml:space="preserve">  Python model</t>
        </is>
      </c>
      <c r="B40" s="22" t="inlineStr">
        <is>
          <t>model.py</t>
        </is>
      </c>
      <c r="C40" s="30" t="n">
        <v>166159.5694347635</v>
      </c>
      <c r="D40" s="30" t="n">
        <v>809909.7202025568</v>
      </c>
      <c r="E40" s="30" t="n">
        <v>3053787.536928662</v>
      </c>
      <c r="F40" s="30" t="n">
        <v>9029784.503559049</v>
      </c>
      <c r="G40" s="30" t="n">
        <v>21701556.20578258</v>
      </c>
      <c r="H40" s="30" t="n">
        <v>43115734.33602589</v>
      </c>
      <c r="I40" s="30" t="n">
        <v>71777410.04809876</v>
      </c>
      <c r="J40" s="30" t="n">
        <v>104393238.5445187</v>
      </c>
      <c r="K40" s="30" t="n">
        <v>135555526.5711262</v>
      </c>
      <c r="L40" s="30" t="n">
        <v>175904826.0874194</v>
      </c>
    </row>
    <row r="41">
      <c r="A41" s="21" t="inlineStr">
        <is>
          <t xml:space="preserve">  This workbook</t>
        </is>
      </c>
      <c r="B41" s="22" t="inlineStr">
        <is>
          <t>recalculated</t>
        </is>
      </c>
      <c r="C41" s="38">
        <f>Revenue!C20</f>
        <v/>
      </c>
      <c r="D41" s="38">
        <f>Revenue!D20</f>
        <v/>
      </c>
      <c r="E41" s="38">
        <f>Revenue!E20</f>
        <v/>
      </c>
      <c r="F41" s="38">
        <f>Revenue!F20</f>
        <v/>
      </c>
      <c r="G41" s="38">
        <f>Revenue!G20</f>
        <v/>
      </c>
      <c r="H41" s="38">
        <f>Revenue!H20</f>
        <v/>
      </c>
      <c r="I41" s="38">
        <f>Revenue!I20</f>
        <v/>
      </c>
      <c r="J41" s="38">
        <f>Revenue!J20</f>
        <v/>
      </c>
      <c r="K41" s="38">
        <f>Revenue!K20</f>
        <v/>
      </c>
      <c r="L41" s="38">
        <f>Revenue!L20</f>
        <v/>
      </c>
    </row>
    <row r="42">
      <c r="A42" s="47" t="inlineStr">
        <is>
          <t xml:space="preserve">  VARIANCE</t>
        </is>
      </c>
      <c r="B42" s="48" t="inlineStr">
        <is>
          <t>must be 0</t>
        </is>
      </c>
      <c r="C42" s="74">
        <f>ROUND(C41-C40,0)</f>
        <v/>
      </c>
      <c r="D42" s="74">
        <f>ROUND(D41-D40,0)</f>
        <v/>
      </c>
      <c r="E42" s="74">
        <f>ROUND(E41-E40,0)</f>
        <v/>
      </c>
      <c r="F42" s="74">
        <f>ROUND(F41-F40,0)</f>
        <v/>
      </c>
      <c r="G42" s="74">
        <f>ROUND(G41-G40,0)</f>
        <v/>
      </c>
      <c r="H42" s="74">
        <f>ROUND(H41-H40,0)</f>
        <v/>
      </c>
      <c r="I42" s="74">
        <f>ROUND(I41-I40,0)</f>
        <v/>
      </c>
      <c r="J42" s="74">
        <f>ROUND(J41-J40,0)</f>
        <v/>
      </c>
      <c r="K42" s="74">
        <f>ROUND(K41-K40,0)</f>
        <v/>
      </c>
      <c r="L42" s="74">
        <f>ROUND(L41-L40,0)</f>
        <v/>
      </c>
    </row>
    <row r="44">
      <c r="A44" s="19" t="inlineStr">
        <is>
          <t>DEALS</t>
        </is>
      </c>
      <c r="B44" s="20" t="n"/>
      <c r="C44" s="20" t="n"/>
      <c r="D44" s="20" t="n"/>
      <c r="E44" s="20" t="n"/>
      <c r="F44" s="20" t="n"/>
      <c r="G44" s="20" t="n"/>
      <c r="H44" s="20" t="n"/>
      <c r="I44" s="20" t="n"/>
      <c r="J44" s="20" t="n"/>
      <c r="K44" s="20" t="n"/>
      <c r="L44" s="20" t="n"/>
    </row>
    <row r="45">
      <c r="A45" s="21" t="inlineStr">
        <is>
          <t xml:space="preserve">  Python model</t>
        </is>
      </c>
      <c r="B45" s="22" t="inlineStr">
        <is>
          <t>model.py</t>
        </is>
      </c>
      <c r="C45" s="23" t="n">
        <v>24.54</v>
      </c>
      <c r="D45" s="23" t="n">
        <v>117.216</v>
      </c>
      <c r="E45" s="23" t="n">
        <v>484.8</v>
      </c>
      <c r="F45" s="23" t="n">
        <v>1548.72</v>
      </c>
      <c r="G45" s="23" t="n">
        <v>3767.190000000001</v>
      </c>
      <c r="H45" s="23" t="n">
        <v>7376</v>
      </c>
      <c r="I45" s="23" t="n">
        <v>11563.2</v>
      </c>
      <c r="J45" s="23" t="n">
        <v>16257.92</v>
      </c>
      <c r="K45" s="23" t="n">
        <v>19895.44</v>
      </c>
      <c r="L45" s="23" t="n">
        <v>25539.2</v>
      </c>
    </row>
    <row r="46">
      <c r="A46" s="21" t="inlineStr">
        <is>
          <t xml:space="preserve">  This workbook</t>
        </is>
      </c>
      <c r="B46" s="22" t="inlineStr">
        <is>
          <t>recalculated</t>
        </is>
      </c>
      <c r="C46" s="25">
        <f>Drivers!C46</f>
        <v/>
      </c>
      <c r="D46" s="25">
        <f>Drivers!D46</f>
        <v/>
      </c>
      <c r="E46" s="25">
        <f>Drivers!E46</f>
        <v/>
      </c>
      <c r="F46" s="25">
        <f>Drivers!F46</f>
        <v/>
      </c>
      <c r="G46" s="25">
        <f>Drivers!G46</f>
        <v/>
      </c>
      <c r="H46" s="25">
        <f>Drivers!H46</f>
        <v/>
      </c>
      <c r="I46" s="25">
        <f>Drivers!I46</f>
        <v/>
      </c>
      <c r="J46" s="25">
        <f>Drivers!J46</f>
        <v/>
      </c>
      <c r="K46" s="25">
        <f>Drivers!K46</f>
        <v/>
      </c>
      <c r="L46" s="25">
        <f>Drivers!L46</f>
        <v/>
      </c>
    </row>
    <row r="47">
      <c r="A47" s="47" t="inlineStr">
        <is>
          <t xml:space="preserve">  VARIANCE</t>
        </is>
      </c>
      <c r="B47" s="48" t="inlineStr">
        <is>
          <t>must be 0</t>
        </is>
      </c>
      <c r="C47" s="75">
        <f>ROUND(C46-C45,0)</f>
        <v/>
      </c>
      <c r="D47" s="75">
        <f>ROUND(D46-D45,0)</f>
        <v/>
      </c>
      <c r="E47" s="75">
        <f>ROUND(E46-E45,0)</f>
        <v/>
      </c>
      <c r="F47" s="75">
        <f>ROUND(F46-F45,0)</f>
        <v/>
      </c>
      <c r="G47" s="75">
        <f>ROUND(G46-G45,0)</f>
        <v/>
      </c>
      <c r="H47" s="75">
        <f>ROUND(H46-H45,0)</f>
        <v/>
      </c>
      <c r="I47" s="75">
        <f>ROUND(I46-I45,0)</f>
        <v/>
      </c>
      <c r="J47" s="75">
        <f>ROUND(J46-J45,0)</f>
        <v/>
      </c>
      <c r="K47" s="75">
        <f>ROUND(K46-K45,0)</f>
        <v/>
      </c>
      <c r="L47" s="75">
        <f>ROUND(L46-L45,0)</f>
        <v/>
      </c>
    </row>
    <row r="49">
      <c r="A49" s="19" t="inlineStr">
        <is>
          <t>APPLICATIONS REQUIRED</t>
        </is>
      </c>
      <c r="B49" s="20" t="n"/>
      <c r="C49" s="20" t="n"/>
      <c r="D49" s="20" t="n"/>
      <c r="E49" s="20" t="n"/>
      <c r="F49" s="20" t="n"/>
      <c r="G49" s="20" t="n"/>
      <c r="H49" s="20" t="n"/>
      <c r="I49" s="20" t="n"/>
      <c r="J49" s="20" t="n"/>
      <c r="K49" s="20" t="n"/>
      <c r="L49" s="20" t="n"/>
    </row>
    <row r="50">
      <c r="A50" s="21" t="inlineStr">
        <is>
          <t xml:space="preserve">  Python model</t>
        </is>
      </c>
      <c r="B50" s="22" t="inlineStr">
        <is>
          <t>model.py</t>
        </is>
      </c>
      <c r="C50" s="23" t="n">
        <v>2000</v>
      </c>
      <c r="D50" s="23" t="n">
        <v>4040</v>
      </c>
      <c r="E50" s="23" t="n">
        <v>8375.039999999999</v>
      </c>
      <c r="F50" s="23" t="n">
        <v>13666.66666666667</v>
      </c>
      <c r="G50" s="23" t="n">
        <v>20336.84210526316</v>
      </c>
      <c r="H50" s="23" t="n">
        <v>26004.74576271186</v>
      </c>
      <c r="I50" s="23" t="n">
        <v>30163.9344262295</v>
      </c>
      <c r="J50" s="23" t="n">
        <v>32980.64516129032</v>
      </c>
      <c r="K50" s="23" t="n">
        <v>35803.17460317459</v>
      </c>
      <c r="L50" s="23" t="n">
        <v>38515.90551181103</v>
      </c>
    </row>
    <row r="51">
      <c r="A51" s="21" t="inlineStr">
        <is>
          <t xml:space="preserve">  This workbook</t>
        </is>
      </c>
      <c r="B51" s="22" t="inlineStr">
        <is>
          <t>recalculated</t>
        </is>
      </c>
      <c r="C51" s="25">
        <f>Drivers!C54</f>
        <v/>
      </c>
      <c r="D51" s="25">
        <f>Drivers!D54</f>
        <v/>
      </c>
      <c r="E51" s="25">
        <f>Drivers!E54</f>
        <v/>
      </c>
      <c r="F51" s="25">
        <f>Drivers!F54</f>
        <v/>
      </c>
      <c r="G51" s="25">
        <f>Drivers!G54</f>
        <v/>
      </c>
      <c r="H51" s="25">
        <f>Drivers!H54</f>
        <v/>
      </c>
      <c r="I51" s="25">
        <f>Drivers!I54</f>
        <v/>
      </c>
      <c r="J51" s="25">
        <f>Drivers!J54</f>
        <v/>
      </c>
      <c r="K51" s="25">
        <f>Drivers!K54</f>
        <v/>
      </c>
      <c r="L51" s="25">
        <f>Drivers!L54</f>
        <v/>
      </c>
    </row>
    <row r="52">
      <c r="A52" s="47" t="inlineStr">
        <is>
          <t xml:space="preserve">  VARIANCE</t>
        </is>
      </c>
      <c r="B52" s="48" t="inlineStr">
        <is>
          <t>must be 0</t>
        </is>
      </c>
      <c r="C52" s="75">
        <f>ROUND(C51-C50,0)</f>
        <v/>
      </c>
      <c r="D52" s="75">
        <f>ROUND(D51-D50,0)</f>
        <v/>
      </c>
      <c r="E52" s="75">
        <f>ROUND(E51-E50,0)</f>
        <v/>
      </c>
      <c r="F52" s="75">
        <f>ROUND(F51-F50,0)</f>
        <v/>
      </c>
      <c r="G52" s="75">
        <f>ROUND(G51-G50,0)</f>
        <v/>
      </c>
      <c r="H52" s="75">
        <f>ROUND(H51-H50,0)</f>
        <v/>
      </c>
      <c r="I52" s="75">
        <f>ROUND(I51-I50,0)</f>
        <v/>
      </c>
      <c r="J52" s="75">
        <f>ROUND(J51-J50,0)</f>
        <v/>
      </c>
      <c r="K52" s="75">
        <f>ROUND(K51-K50,0)</f>
        <v/>
      </c>
      <c r="L52" s="75">
        <f>ROUND(L51-L50,0)</f>
        <v/>
      </c>
    </row>
    <row r="54">
      <c r="A54" s="19" t="inlineStr">
        <is>
          <t>ATHLETE VERIFICATION</t>
        </is>
      </c>
      <c r="B54" s="20" t="n"/>
      <c r="C54" s="20" t="n"/>
      <c r="D54" s="20" t="n"/>
      <c r="E54" s="20" t="n"/>
      <c r="F54" s="20" t="n"/>
      <c r="G54" s="20" t="n"/>
      <c r="H54" s="20" t="n"/>
      <c r="I54" s="20" t="n"/>
      <c r="J54" s="20" t="n"/>
      <c r="K54" s="20" t="n"/>
      <c r="L54" s="20" t="n"/>
    </row>
    <row r="55">
      <c r="A55" s="21" t="inlineStr">
        <is>
          <t xml:space="preserve">  Python model</t>
        </is>
      </c>
      <c r="B55" s="22" t="inlineStr">
        <is>
          <t>model.py</t>
        </is>
      </c>
      <c r="C55" s="30" t="n">
        <v>745.0980392156863</v>
      </c>
      <c r="D55" s="30" t="n">
        <v>2001.938823529412</v>
      </c>
      <c r="E55" s="30" t="n">
        <v>4650.610447058823</v>
      </c>
      <c r="F55" s="30" t="n">
        <v>7902.870588235294</v>
      </c>
      <c r="G55" s="30" t="n">
        <v>11906.38365325077</v>
      </c>
      <c r="H55" s="30" t="n">
        <v>15491.89387570621</v>
      </c>
      <c r="I55" s="30" t="n">
        <v>18266.33236901318</v>
      </c>
      <c r="J55" s="30" t="n">
        <v>20412.30330170778</v>
      </c>
      <c r="K55" s="30" t="n">
        <v>22629.29120448179</v>
      </c>
      <c r="L55" s="30" t="n">
        <v>24921.45233657558</v>
      </c>
    </row>
    <row r="56">
      <c r="A56" s="21" t="inlineStr">
        <is>
          <t xml:space="preserve">  This workbook</t>
        </is>
      </c>
      <c r="B56" s="22" t="inlineStr">
        <is>
          <t>recalculated</t>
        </is>
      </c>
      <c r="C56" s="38">
        <f>Costs!C13</f>
        <v/>
      </c>
      <c r="D56" s="38">
        <f>Costs!D13</f>
        <v/>
      </c>
      <c r="E56" s="38">
        <f>Costs!E13</f>
        <v/>
      </c>
      <c r="F56" s="38">
        <f>Costs!F13</f>
        <v/>
      </c>
      <c r="G56" s="38">
        <f>Costs!G13</f>
        <v/>
      </c>
      <c r="H56" s="38">
        <f>Costs!H13</f>
        <v/>
      </c>
      <c r="I56" s="38">
        <f>Costs!I13</f>
        <v/>
      </c>
      <c r="J56" s="38">
        <f>Costs!J13</f>
        <v/>
      </c>
      <c r="K56" s="38">
        <f>Costs!K13</f>
        <v/>
      </c>
      <c r="L56" s="38">
        <f>Costs!L13</f>
        <v/>
      </c>
    </row>
    <row r="57">
      <c r="A57" s="47" t="inlineStr">
        <is>
          <t xml:space="preserve">  VARIANCE</t>
        </is>
      </c>
      <c r="B57" s="48" t="inlineStr">
        <is>
          <t>must be 0</t>
        </is>
      </c>
      <c r="C57" s="74">
        <f>ROUND(C56-C55,0)</f>
        <v/>
      </c>
      <c r="D57" s="74">
        <f>ROUND(D56-D55,0)</f>
        <v/>
      </c>
      <c r="E57" s="74">
        <f>ROUND(E56-E55,0)</f>
        <v/>
      </c>
      <c r="F57" s="74">
        <f>ROUND(F56-F55,0)</f>
        <v/>
      </c>
      <c r="G57" s="74">
        <f>ROUND(G56-G55,0)</f>
        <v/>
      </c>
      <c r="H57" s="74">
        <f>ROUND(H56-H55,0)</f>
        <v/>
      </c>
      <c r="I57" s="74">
        <f>ROUND(I56-I55,0)</f>
        <v/>
      </c>
      <c r="J57" s="74">
        <f>ROUND(J56-J55,0)</f>
        <v/>
      </c>
      <c r="K57" s="74">
        <f>ROUND(K56-K55,0)</f>
        <v/>
      </c>
      <c r="L57" s="74">
        <f>ROUND(L56-L55,0)</f>
        <v/>
      </c>
    </row>
    <row r="59">
      <c r="A59" s="19" t="inlineStr">
        <is>
          <t>TAX CHARGE</t>
        </is>
      </c>
      <c r="B59" s="20" t="n"/>
      <c r="C59" s="20" t="n"/>
      <c r="D59" s="20" t="n"/>
      <c r="E59" s="20" t="n"/>
      <c r="F59" s="20" t="n"/>
      <c r="G59" s="20" t="n"/>
      <c r="H59" s="20" t="n"/>
      <c r="I59" s="20" t="n"/>
      <c r="J59" s="20" t="n"/>
      <c r="K59" s="20" t="n"/>
      <c r="L59" s="20" t="n"/>
    </row>
    <row r="60">
      <c r="A60" s="21" t="inlineStr">
        <is>
          <t xml:space="preserve">  Python model</t>
        </is>
      </c>
      <c r="B60" s="22" t="inlineStr">
        <is>
          <t>model.py</t>
        </is>
      </c>
      <c r="C60" s="30" t="n">
        <v>0</v>
      </c>
      <c r="D60" s="30" t="n">
        <v>0</v>
      </c>
      <c r="E60" s="30" t="n">
        <v>0</v>
      </c>
      <c r="F60" s="30" t="n">
        <v>0</v>
      </c>
      <c r="G60" s="30" t="n">
        <v>0</v>
      </c>
      <c r="H60" s="30" t="n">
        <v>21027.01660260542</v>
      </c>
      <c r="I60" s="30" t="n">
        <v>344936.0818324907</v>
      </c>
      <c r="J60" s="30" t="n">
        <v>634864.2782713483</v>
      </c>
      <c r="K60" s="30" t="n">
        <v>944859.1885406985</v>
      </c>
      <c r="L60" s="30" t="n">
        <v>2176647.478549273</v>
      </c>
    </row>
    <row r="61">
      <c r="A61" s="21" t="inlineStr">
        <is>
          <t xml:space="preserve">  This workbook</t>
        </is>
      </c>
      <c r="B61" s="22" t="inlineStr">
        <is>
          <t>recalculated</t>
        </is>
      </c>
      <c r="C61" s="38">
        <f>-'P&amp;L'!C20</f>
        <v/>
      </c>
      <c r="D61" s="38">
        <f>-'P&amp;L'!D20</f>
        <v/>
      </c>
      <c r="E61" s="38">
        <f>-'P&amp;L'!E20</f>
        <v/>
      </c>
      <c r="F61" s="38">
        <f>-'P&amp;L'!F20</f>
        <v/>
      </c>
      <c r="G61" s="38">
        <f>-'P&amp;L'!G20</f>
        <v/>
      </c>
      <c r="H61" s="38">
        <f>-'P&amp;L'!H20</f>
        <v/>
      </c>
      <c r="I61" s="38">
        <f>-'P&amp;L'!I20</f>
        <v/>
      </c>
      <c r="J61" s="38">
        <f>-'P&amp;L'!J20</f>
        <v/>
      </c>
      <c r="K61" s="38">
        <f>-'P&amp;L'!K20</f>
        <v/>
      </c>
      <c r="L61" s="38">
        <f>-'P&amp;L'!L20</f>
        <v/>
      </c>
    </row>
    <row r="62">
      <c r="A62" s="47" t="inlineStr">
        <is>
          <t xml:space="preserve">  VARIANCE</t>
        </is>
      </c>
      <c r="B62" s="48" t="inlineStr">
        <is>
          <t>must be 0</t>
        </is>
      </c>
      <c r="C62" s="74">
        <f>ROUND(C61-C60,0)</f>
        <v/>
      </c>
      <c r="D62" s="74">
        <f>ROUND(D61-D60,0)</f>
        <v/>
      </c>
      <c r="E62" s="74">
        <f>ROUND(E61-E60,0)</f>
        <v/>
      </c>
      <c r="F62" s="74">
        <f>ROUND(F61-F60,0)</f>
        <v/>
      </c>
      <c r="G62" s="74">
        <f>ROUND(G61-G60,0)</f>
        <v/>
      </c>
      <c r="H62" s="74">
        <f>ROUND(H61-H60,0)</f>
        <v/>
      </c>
      <c r="I62" s="74">
        <f>ROUND(I61-I60,0)</f>
        <v/>
      </c>
      <c r="J62" s="74">
        <f>ROUND(J61-J60,0)</f>
        <v/>
      </c>
      <c r="K62" s="74">
        <f>ROUND(K61-K60,0)</f>
        <v/>
      </c>
      <c r="L62" s="74">
        <f>ROUND(L61-L60,0)</f>
        <v/>
      </c>
    </row>
    <row r="64">
      <c r="A64" s="19" t="inlineStr">
        <is>
          <t>NET PROFIT</t>
        </is>
      </c>
      <c r="B64" s="20" t="n"/>
      <c r="C64" s="20" t="n"/>
      <c r="D64" s="20" t="n"/>
      <c r="E64" s="20" t="n"/>
      <c r="F64" s="20" t="n"/>
      <c r="G64" s="20" t="n"/>
      <c r="H64" s="20" t="n"/>
      <c r="I64" s="20" t="n"/>
      <c r="J64" s="20" t="n"/>
      <c r="K64" s="20" t="n"/>
      <c r="L64" s="20" t="n"/>
    </row>
    <row r="65">
      <c r="A65" s="21" t="inlineStr">
        <is>
          <t xml:space="preserve">  Python model</t>
        </is>
      </c>
      <c r="B65" s="22" t="inlineStr">
        <is>
          <t>model.py</t>
        </is>
      </c>
      <c r="C65" s="30" t="n">
        <v>-100725.0653449579</v>
      </c>
      <c r="D65" s="30" t="n">
        <v>-186645.7455848839</v>
      </c>
      <c r="E65" s="30" t="n">
        <v>-273968.3008951278</v>
      </c>
      <c r="F65" s="30" t="n">
        <v>-282622.9369717319</v>
      </c>
      <c r="G65" s="30" t="n">
        <v>30969.67288726778</v>
      </c>
      <c r="H65" s="30" t="n">
        <v>932145.4699908645</v>
      </c>
      <c r="I65" s="30" t="n">
        <v>1954637.797050781</v>
      </c>
      <c r="J65" s="30" t="n">
        <v>3597564.243537641</v>
      </c>
      <c r="K65" s="30" t="n">
        <v>5354202.068397291</v>
      </c>
      <c r="L65" s="30" t="n">
        <v>6529942.435647818</v>
      </c>
    </row>
    <row r="66">
      <c r="A66" s="21" t="inlineStr">
        <is>
          <t xml:space="preserve">  This workbook</t>
        </is>
      </c>
      <c r="B66" s="22" t="inlineStr">
        <is>
          <t>recalculated</t>
        </is>
      </c>
      <c r="C66" s="38">
        <f>'P&amp;L'!C21</f>
        <v/>
      </c>
      <c r="D66" s="38">
        <f>'P&amp;L'!D21</f>
        <v/>
      </c>
      <c r="E66" s="38">
        <f>'P&amp;L'!E21</f>
        <v/>
      </c>
      <c r="F66" s="38">
        <f>'P&amp;L'!F21</f>
        <v/>
      </c>
      <c r="G66" s="38">
        <f>'P&amp;L'!G21</f>
        <v/>
      </c>
      <c r="H66" s="38">
        <f>'P&amp;L'!H21</f>
        <v/>
      </c>
      <c r="I66" s="38">
        <f>'P&amp;L'!I21</f>
        <v/>
      </c>
      <c r="J66" s="38">
        <f>'P&amp;L'!J21</f>
        <v/>
      </c>
      <c r="K66" s="38">
        <f>'P&amp;L'!K21</f>
        <v/>
      </c>
      <c r="L66" s="38">
        <f>'P&amp;L'!L21</f>
        <v/>
      </c>
    </row>
    <row r="67">
      <c r="A67" s="47" t="inlineStr">
        <is>
          <t xml:space="preserve">  VARIANCE</t>
        </is>
      </c>
      <c r="B67" s="48" t="inlineStr">
        <is>
          <t>must be 0</t>
        </is>
      </c>
      <c r="C67" s="74">
        <f>ROUND(C66-C65,0)</f>
        <v/>
      </c>
      <c r="D67" s="74">
        <f>ROUND(D66-D65,0)</f>
        <v/>
      </c>
      <c r="E67" s="74">
        <f>ROUND(E66-E65,0)</f>
        <v/>
      </c>
      <c r="F67" s="74">
        <f>ROUND(F66-F65,0)</f>
        <v/>
      </c>
      <c r="G67" s="74">
        <f>ROUND(G66-G65,0)</f>
        <v/>
      </c>
      <c r="H67" s="74">
        <f>ROUND(H66-H65,0)</f>
        <v/>
      </c>
      <c r="I67" s="74">
        <f>ROUND(I66-I65,0)</f>
        <v/>
      </c>
      <c r="J67" s="74">
        <f>ROUND(J66-J65,0)</f>
        <v/>
      </c>
      <c r="K67" s="74">
        <f>ROUND(K66-K65,0)</f>
        <v/>
      </c>
      <c r="L67" s="74">
        <f>ROUND(L66-L65,0)</f>
        <v/>
      </c>
    </row>
    <row r="69">
      <c r="A69" s="19" t="inlineStr">
        <is>
          <t>FREE CASH FLOW</t>
        </is>
      </c>
      <c r="B69" s="20" t="n"/>
      <c r="C69" s="20" t="n"/>
      <c r="D69" s="20" t="n"/>
      <c r="E69" s="20" t="n"/>
      <c r="F69" s="20" t="n"/>
      <c r="G69" s="20" t="n"/>
      <c r="H69" s="20" t="n"/>
      <c r="I69" s="20" t="n"/>
      <c r="J69" s="20" t="n"/>
      <c r="K69" s="20" t="n"/>
      <c r="L69" s="20" t="n"/>
    </row>
    <row r="70">
      <c r="A70" s="21" t="inlineStr">
        <is>
          <t xml:space="preserve">  Python model</t>
        </is>
      </c>
      <c r="B70" s="22" t="inlineStr">
        <is>
          <t>model.py</t>
        </is>
      </c>
      <c r="C70" s="30" t="n">
        <v>-95817.27587252646</v>
      </c>
      <c r="D70" s="30" t="n">
        <v>-163256.1042565819</v>
      </c>
      <c r="E70" s="30" t="n">
        <v>-188798.9540611985</v>
      </c>
      <c r="F70" s="30" t="n">
        <v>-60058.22952126013</v>
      </c>
      <c r="G70" s="30" t="n">
        <v>484377.4431417021</v>
      </c>
      <c r="H70" s="30" t="n">
        <v>1673919.564120663</v>
      </c>
      <c r="I70" s="30" t="n">
        <v>2936196.927008493</v>
      </c>
      <c r="J70" s="30" t="n">
        <v>4692204.487844148</v>
      </c>
      <c r="K70" s="30" t="n">
        <v>6419322.362693556</v>
      </c>
      <c r="L70" s="30" t="n">
        <v>7900590.191422299</v>
      </c>
    </row>
    <row r="71">
      <c r="A71" s="21" t="inlineStr">
        <is>
          <t xml:space="preserve">  This workbook</t>
        </is>
      </c>
      <c r="B71" s="22" t="inlineStr">
        <is>
          <t>recalculated</t>
        </is>
      </c>
      <c r="C71" s="38">
        <f>CashFlow!C9</f>
        <v/>
      </c>
      <c r="D71" s="38">
        <f>CashFlow!D9</f>
        <v/>
      </c>
      <c r="E71" s="38">
        <f>CashFlow!E9</f>
        <v/>
      </c>
      <c r="F71" s="38">
        <f>CashFlow!F9</f>
        <v/>
      </c>
      <c r="G71" s="38">
        <f>CashFlow!G9</f>
        <v/>
      </c>
      <c r="H71" s="38">
        <f>CashFlow!H9</f>
        <v/>
      </c>
      <c r="I71" s="38">
        <f>CashFlow!I9</f>
        <v/>
      </c>
      <c r="J71" s="38">
        <f>CashFlow!J9</f>
        <v/>
      </c>
      <c r="K71" s="38">
        <f>CashFlow!K9</f>
        <v/>
      </c>
      <c r="L71" s="38">
        <f>CashFlow!L9</f>
        <v/>
      </c>
    </row>
    <row r="72">
      <c r="A72" s="47" t="inlineStr">
        <is>
          <t xml:space="preserve">  VARIANCE</t>
        </is>
      </c>
      <c r="B72" s="48" t="inlineStr">
        <is>
          <t>must be 0</t>
        </is>
      </c>
      <c r="C72" s="74">
        <f>ROUND(C71-C70,0)</f>
        <v/>
      </c>
      <c r="D72" s="74">
        <f>ROUND(D71-D70,0)</f>
        <v/>
      </c>
      <c r="E72" s="74">
        <f>ROUND(E71-E70,0)</f>
        <v/>
      </c>
      <c r="F72" s="74">
        <f>ROUND(F71-F70,0)</f>
        <v/>
      </c>
      <c r="G72" s="74">
        <f>ROUND(G71-G70,0)</f>
        <v/>
      </c>
      <c r="H72" s="74">
        <f>ROUND(H71-H70,0)</f>
        <v/>
      </c>
      <c r="I72" s="74">
        <f>ROUND(I71-I70,0)</f>
        <v/>
      </c>
      <c r="J72" s="74">
        <f>ROUND(J71-J70,0)</f>
        <v/>
      </c>
      <c r="K72" s="74">
        <f>ROUND(K71-K70,0)</f>
        <v/>
      </c>
      <c r="L72" s="74">
        <f>ROUND(L71-L70,0)</f>
        <v/>
      </c>
    </row>
    <row r="74">
      <c r="A74" s="2" t="inlineStr">
        <is>
          <t>Balance sheet check (from BalanceSheet, must be zero):</t>
        </is>
      </c>
    </row>
    <row r="75">
      <c r="A75" s="47" t="inlineStr">
        <is>
          <t xml:space="preserve">  Assets less liabilities and equity</t>
        </is>
      </c>
      <c r="B75" s="48" t="inlineStr">
        <is>
          <t>must be 0</t>
        </is>
      </c>
      <c r="C75" s="76">
        <f>BalanceSheet!C20</f>
        <v/>
      </c>
      <c r="D75" s="76">
        <f>BalanceSheet!D20</f>
        <v/>
      </c>
      <c r="E75" s="76">
        <f>BalanceSheet!E20</f>
        <v/>
      </c>
      <c r="F75" s="76">
        <f>BalanceSheet!F20</f>
        <v/>
      </c>
      <c r="G75" s="76">
        <f>BalanceSheet!G20</f>
        <v/>
      </c>
      <c r="H75" s="76">
        <f>BalanceSheet!H20</f>
        <v/>
      </c>
      <c r="I75" s="76">
        <f>BalanceSheet!I20</f>
        <v/>
      </c>
      <c r="J75" s="76">
        <f>BalanceSheet!J20</f>
        <v/>
      </c>
      <c r="K75" s="76">
        <f>BalanceSheet!K20</f>
        <v/>
      </c>
      <c r="L75" s="76">
        <f>BalanceSheet!L20</f>
        <v/>
      </c>
    </row>
  </sheetData>
  <mergeCells count="5">
    <mergeCell ref="C2:D2"/>
    <mergeCell ref="G2:H2"/>
    <mergeCell ref="E2:F2"/>
    <mergeCell ref="K2:L2"/>
    <mergeCell ref="I2:J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8" customWidth="1" min="1" max="1"/>
    <col width="16" customWidth="1" min="2" max="2"/>
    <col width="16" customWidth="1" min="3" max="3"/>
    <col width="15" customWidth="1" min="4" max="4"/>
    <col width="13" customWidth="1" min="5" max="5"/>
    <col width="46" customWidth="1" min="6" max="6"/>
  </cols>
  <sheetData>
    <row r="1">
      <c r="A1" s="1" t="inlineStr">
        <is>
          <t>Comparables - published facts about the platforms we are modelled on</t>
        </is>
      </c>
    </row>
    <row r="2">
      <c r="A2" s="73" t="inlineStr">
        <is>
          <t>Nothing on this sheet is our estimate. Every figure is published and cited, so it can be refreshed independently of anything we concluded from it. MarketModel derives our assumptions from these numbers; Assumptions then uses what MarketModel produces.</t>
        </is>
      </c>
    </row>
    <row r="4">
      <c r="A4" s="77" t="inlineStr">
        <is>
          <t>Metric</t>
        </is>
      </c>
      <c r="B4" s="77" t="inlineStr">
        <is>
          <t>Value</t>
        </is>
      </c>
      <c r="C4" s="77" t="inlineStr">
        <is>
          <t>Unit</t>
        </is>
      </c>
      <c r="D4" s="77" t="inlineStr">
        <is>
          <t>Platform</t>
        </is>
      </c>
      <c r="E4" s="77" t="inlineStr">
        <is>
          <t>Period</t>
        </is>
      </c>
      <c r="F4" s="77" t="inlineStr">
        <is>
          <t>Source</t>
        </is>
      </c>
    </row>
    <row r="5">
      <c r="A5" s="78" t="inlineStr">
        <is>
          <t>Gross payments (GMV)</t>
        </is>
      </c>
      <c r="B5" s="79" t="n">
        <v>7220000000</v>
      </c>
      <c r="C5" s="80" t="inlineStr">
        <is>
          <t>USD</t>
        </is>
      </c>
      <c r="D5" s="80" t="inlineStr">
        <is>
          <t>OnlyFans</t>
        </is>
      </c>
      <c r="E5" s="80" t="inlineStr">
        <is>
          <t>FY2024</t>
        </is>
      </c>
      <c r="F5" s="80" t="inlineStr">
        <is>
          <t>Fenix International Ltd filed accounts (Companies House 10354575)</t>
        </is>
      </c>
    </row>
    <row r="6">
      <c r="A6" s="78" t="inlineStr">
        <is>
          <t>Net revenue</t>
        </is>
      </c>
      <c r="B6" s="79" t="n">
        <v>1410000000</v>
      </c>
      <c r="C6" s="80" t="inlineStr">
        <is>
          <t>USD</t>
        </is>
      </c>
      <c r="D6" s="80" t="inlineStr">
        <is>
          <t>OnlyFans</t>
        </is>
      </c>
      <c r="E6" s="80" t="inlineStr">
        <is>
          <t>FY2024</t>
        </is>
      </c>
      <c r="F6" s="80" t="inlineStr">
        <is>
          <t>Fenix International Ltd filed accounts (Companies House 10354575)</t>
        </is>
      </c>
    </row>
    <row r="7">
      <c r="A7" s="78" t="inlineStr">
        <is>
          <t>Paid to creators</t>
        </is>
      </c>
      <c r="B7" s="79" t="n">
        <v>5800000000</v>
      </c>
      <c r="C7" s="80" t="inlineStr">
        <is>
          <t>USD</t>
        </is>
      </c>
      <c r="D7" s="80" t="inlineStr">
        <is>
          <t>OnlyFans</t>
        </is>
      </c>
      <c r="E7" s="80" t="inlineStr">
        <is>
          <t>FY2024</t>
        </is>
      </c>
      <c r="F7" s="80" t="inlineStr">
        <is>
          <t>Fenix International Ltd filed accounts, 80.3% of gross</t>
        </is>
      </c>
    </row>
    <row r="8">
      <c r="A8" s="78" t="inlineStr">
        <is>
          <t>Creator accounts</t>
        </is>
      </c>
      <c r="B8" s="79" t="n">
        <v>4634000</v>
      </c>
      <c r="C8" s="80" t="inlineStr">
        <is>
          <t>count</t>
        </is>
      </c>
      <c r="D8" s="80" t="inlineStr">
        <is>
          <t>OnlyFans</t>
        </is>
      </c>
      <c r="E8" s="80" t="inlineStr">
        <is>
          <t>FY2024</t>
        </is>
      </c>
      <c r="F8" s="80" t="inlineStr">
        <is>
          <t>Variety: +13% YoY</t>
        </is>
      </c>
    </row>
    <row r="9">
      <c r="A9" s="78" t="inlineStr">
        <is>
          <t>Fan accounts</t>
        </is>
      </c>
      <c r="B9" s="79" t="n">
        <v>377500000</v>
      </c>
      <c r="C9" s="80" t="inlineStr">
        <is>
          <t>count</t>
        </is>
      </c>
      <c r="D9" s="80" t="inlineStr">
        <is>
          <t>OnlyFans</t>
        </is>
      </c>
      <c r="E9" s="80" t="inlineStr">
        <is>
          <t>FY2024</t>
        </is>
      </c>
      <c r="F9" s="80" t="inlineStr">
        <is>
          <t>Variety: +24% YoY</t>
        </is>
      </c>
    </row>
    <row r="10">
      <c r="A10" s="78" t="inlineStr">
        <is>
          <t>Reported average creator earnings</t>
        </is>
      </c>
      <c r="B10" s="79" t="n">
        <v>131</v>
      </c>
      <c r="C10" s="80" t="inlineStr">
        <is>
          <t>USD/month</t>
        </is>
      </c>
      <c r="D10" s="80" t="inlineStr">
        <is>
          <t>OnlyFans</t>
        </is>
      </c>
      <c r="E10" s="80" t="inlineStr">
        <is>
          <t>FY2024</t>
        </is>
      </c>
      <c r="F10" s="80" t="inlineStr">
        <is>
          <t>Sci-Tech Today / ElectroIQ: after platform fees</t>
        </is>
      </c>
    </row>
    <row r="11">
      <c r="A11" s="78" t="inlineStr">
        <is>
          <t>Revenue concentration</t>
        </is>
      </c>
      <c r="B11" s="81" t="n">
        <v>0.76</v>
      </c>
      <c r="C11" s="80" t="inlineStr">
        <is>
          <t>share to top 0.1%</t>
        </is>
      </c>
      <c r="D11" s="80" t="inlineStr">
        <is>
          <t>OnlyFans</t>
        </is>
      </c>
      <c r="E11" s="80" t="inlineStr">
        <is>
          <t>2025</t>
        </is>
      </c>
      <c r="F11" s="80" t="inlineStr">
        <is>
          <t>ElectroIQ: power-law distribution</t>
        </is>
      </c>
    </row>
    <row r="12">
      <c r="A12" s="78" t="inlineStr">
        <is>
          <t>Creators with &gt;=1 paying member</t>
        </is>
      </c>
      <c r="B12" s="79" t="n">
        <v>286287</v>
      </c>
      <c r="C12" s="80" t="inlineStr">
        <is>
          <t>count</t>
        </is>
      </c>
      <c r="D12" s="80" t="inlineStr">
        <is>
          <t>Patreon</t>
        </is>
      </c>
      <c r="E12" s="80" t="inlineStr">
        <is>
          <t>Feb 2026</t>
        </is>
      </c>
      <c r="F12" s="80" t="inlineStr">
        <is>
          <t>Graphtreon</t>
        </is>
      </c>
    </row>
    <row r="13">
      <c r="A13" s="78" t="inlineStr">
        <is>
          <t>Active creators</t>
        </is>
      </c>
      <c r="B13" s="79" t="n">
        <v>300000</v>
      </c>
      <c r="C13" s="80" t="inlineStr">
        <is>
          <t>count</t>
        </is>
      </c>
      <c r="D13" s="80" t="inlineStr">
        <is>
          <t>Patreon</t>
        </is>
      </c>
      <c r="E13" s="80" t="inlineStr">
        <is>
          <t>2025</t>
        </is>
      </c>
      <c r="F13" s="80" t="inlineStr">
        <is>
          <t>Jack Conte, Patreon</t>
        </is>
      </c>
    </row>
    <row r="14">
      <c r="A14" s="78" t="inlineStr">
        <is>
          <t>Active paying members</t>
        </is>
      </c>
      <c r="B14" s="79" t="n">
        <v>10000000</v>
      </c>
      <c r="C14" s="80" t="inlineStr">
        <is>
          <t>count</t>
        </is>
      </c>
      <c r="D14" s="80" t="inlineStr">
        <is>
          <t>Patreon</t>
        </is>
      </c>
      <c r="E14" s="80" t="inlineStr">
        <is>
          <t>2026</t>
        </is>
      </c>
      <c r="F14" s="80" t="inlineStr">
        <is>
          <t>Patreon / Backlinko</t>
        </is>
      </c>
    </row>
    <row r="15">
      <c r="A15" s="78" t="inlineStr">
        <is>
          <t>Paid to creators annually</t>
        </is>
      </c>
      <c r="B15" s="79" t="n">
        <v>2000000000</v>
      </c>
      <c r="C15" s="80" t="inlineStr">
        <is>
          <t>USD/year</t>
        </is>
      </c>
      <c r="D15" s="80" t="inlineStr">
        <is>
          <t>Patreon</t>
        </is>
      </c>
      <c r="E15" s="80" t="inlineStr">
        <is>
          <t>2026</t>
        </is>
      </c>
      <c r="F15" s="80" t="inlineStr">
        <is>
          <t>Patreon / Backlinko</t>
        </is>
      </c>
    </row>
    <row r="16">
      <c r="A16" s="78" t="inlineStr">
        <is>
          <t>Average monthly support per member</t>
        </is>
      </c>
      <c r="B16" s="81" t="n">
        <v>6.1</v>
      </c>
      <c r="C16" s="80" t="inlineStr">
        <is>
          <t>USD/month</t>
        </is>
      </c>
      <c r="D16" s="80" t="inlineStr">
        <is>
          <t>Patreon</t>
        </is>
      </c>
      <c r="E16" s="80" t="inlineStr">
        <is>
          <t>Aug 2024</t>
        </is>
      </c>
      <c r="F16" s="80" t="inlineStr">
        <is>
          <t>Patreon 2024 Transparency Report; audit of ~1,200 creators</t>
        </is>
      </c>
    </row>
    <row r="17">
      <c r="A17" s="78" t="inlineStr">
        <is>
          <t>Typical patronage band (low)</t>
        </is>
      </c>
      <c r="B17" s="81" t="n">
        <v>8</v>
      </c>
      <c r="C17" s="80" t="inlineStr">
        <is>
          <t>USD/month</t>
        </is>
      </c>
      <c r="D17" s="80" t="inlineStr">
        <is>
          <t>Patreon</t>
        </is>
      </c>
      <c r="E17" s="80" t="inlineStr">
        <is>
          <t>2026</t>
        </is>
      </c>
      <c r="F17" s="80" t="inlineStr">
        <is>
          <t>Creator-economy benchmarks</t>
        </is>
      </c>
    </row>
    <row r="18">
      <c r="A18" s="78" t="inlineStr">
        <is>
          <t>Typical patronage band (high)</t>
        </is>
      </c>
      <c r="B18" s="81" t="n">
        <v>12</v>
      </c>
      <c r="C18" s="80" t="inlineStr">
        <is>
          <t>USD/month</t>
        </is>
      </c>
      <c r="D18" s="80" t="inlineStr">
        <is>
          <t>Patreon</t>
        </is>
      </c>
      <c r="E18" s="80" t="inlineStr">
        <is>
          <t>2026</t>
        </is>
      </c>
      <c r="F18" s="80" t="inlineStr">
        <is>
          <t>Creator-economy benchmarks</t>
        </is>
      </c>
    </row>
    <row r="19">
      <c r="A19" s="78" t="inlineStr">
        <is>
          <t>Monthly churn (low)</t>
        </is>
      </c>
      <c r="B19" s="81" t="n">
        <v>0.1</v>
      </c>
      <c r="C19" s="80" t="inlineStr">
        <is>
          <t>share</t>
        </is>
      </c>
      <c r="D19" s="80" t="inlineStr">
        <is>
          <t>Patreon</t>
        </is>
      </c>
      <c r="E19" s="80" t="inlineStr">
        <is>
          <t>2024</t>
        </is>
      </c>
      <c r="F19" s="80" t="inlineStr">
        <is>
          <t>Patreon 2024 Transparency Report</t>
        </is>
      </c>
    </row>
    <row r="20">
      <c r="A20" s="78" t="inlineStr">
        <is>
          <t>Monthly churn (high)</t>
        </is>
      </c>
      <c r="B20" s="81" t="n">
        <v>0.15</v>
      </c>
      <c r="C20" s="80" t="inlineStr">
        <is>
          <t>share</t>
        </is>
      </c>
      <c r="D20" s="80" t="inlineStr">
        <is>
          <t>Patreon</t>
        </is>
      </c>
      <c r="E20" s="80" t="inlineStr">
        <is>
          <t>2024</t>
        </is>
      </c>
      <c r="F20" s="80" t="inlineStr">
        <is>
          <t>Patreon 2024 Transparency Report</t>
        </is>
      </c>
    </row>
    <row r="21">
      <c r="A21" s="78" t="inlineStr">
        <is>
          <t>Annual-plan churn multiplier</t>
        </is>
      </c>
      <c r="B21" s="81" t="n">
        <v>0.333</v>
      </c>
      <c r="C21" s="80" t="inlineStr">
        <is>
          <t>x monthly churn</t>
        </is>
      </c>
      <c r="D21" s="80" t="inlineStr">
        <is>
          <t>Patreon</t>
        </is>
      </c>
      <c r="E21" s="80" t="inlineStr">
        <is>
          <t>2024</t>
        </is>
      </c>
      <c r="F21" s="80" t="inlineStr">
        <is>
          <t>Patreon 2024 Transparency Report: annual patrons churn at 1/3 the rate</t>
        </is>
      </c>
    </row>
    <row r="22">
      <c r="A22" s="78" t="inlineStr">
        <is>
          <t>Creators with &gt;2,000 patrons</t>
        </is>
      </c>
      <c r="B22" s="81" t="n">
        <v>0.003</v>
      </c>
      <c r="C22" s="80" t="inlineStr">
        <is>
          <t>share</t>
        </is>
      </c>
      <c r="D22" s="80" t="inlineStr">
        <is>
          <t>Patreon</t>
        </is>
      </c>
      <c r="E22" s="80" t="inlineStr">
        <is>
          <t>2026</t>
        </is>
      </c>
      <c r="F22" s="80" t="inlineStr">
        <is>
          <t>Graphtreon: power-law distribution</t>
        </is>
      </c>
    </row>
    <row r="23">
      <c r="A23" s="78" t="inlineStr">
        <is>
          <t>Division I athletes in network</t>
        </is>
      </c>
      <c r="B23" s="79" t="n">
        <v>45000</v>
      </c>
      <c r="C23" s="80" t="inlineStr">
        <is>
          <t>count</t>
        </is>
      </c>
      <c r="D23" s="80" t="inlineStr">
        <is>
          <t>TEKTA</t>
        </is>
      </c>
      <c r="E23" s="80" t="inlineStr">
        <is>
          <t>Aug 2026</t>
        </is>
      </c>
      <c r="F23" s="80" t="inlineStr">
        <is>
          <t>Publicis Groupe press release, 19 Aug 2026</t>
        </is>
      </c>
    </row>
    <row r="24">
      <c r="A24" s="78" t="inlineStr">
        <is>
          <t>Power Four universities</t>
        </is>
      </c>
      <c r="B24" s="79" t="n">
        <v>68</v>
      </c>
      <c r="C24" s="80" t="inlineStr">
        <is>
          <t>count</t>
        </is>
      </c>
      <c r="D24" s="80" t="inlineStr">
        <is>
          <t>TEKTA</t>
        </is>
      </c>
      <c r="E24" s="80" t="inlineStr">
        <is>
          <t>Aug 2026</t>
        </is>
      </c>
      <c r="F24" s="80" t="inlineStr">
        <is>
          <t>Publicis Groupe press release</t>
        </is>
      </c>
    </row>
    <row r="25">
      <c r="A25" s="78" t="inlineStr">
        <is>
          <t>Claimed speed-to-market gain</t>
        </is>
      </c>
      <c r="B25" s="81" t="n">
        <v>0.6</v>
      </c>
      <c r="C25" s="80" t="inlineStr">
        <is>
          <t>share faster</t>
        </is>
      </c>
      <c r="D25" s="80" t="inlineStr">
        <is>
          <t>TEKTA</t>
        </is>
      </c>
      <c r="E25" s="80" t="inlineStr">
        <is>
          <t>Aug 2026</t>
        </is>
      </c>
      <c r="F25" s="80" t="inlineStr">
        <is>
          <t>Publicis: stated 50-70% vs a traditional agency process</t>
        </is>
      </c>
    </row>
    <row r="27">
      <c r="A27" s="82" t="inlineStr">
        <is>
          <t>TAKE RATES - what each platform costs a creator</t>
        </is>
      </c>
    </row>
    <row r="28">
      <c r="A28" s="17" t="inlineStr">
        <is>
          <t>Platform</t>
        </is>
      </c>
      <c r="B28" s="17" t="inlineStr">
        <is>
          <t>Headline take</t>
        </is>
      </c>
      <c r="C28" s="17" t="inlineStr">
        <is>
          <t>Per txn (USD)</t>
        </is>
      </c>
      <c r="D28" s="17" t="inlineStr">
        <is>
          <t>Monthly fee (USD)</t>
        </is>
      </c>
      <c r="E28" s="17" t="inlineStr"/>
      <c r="F28" s="17" t="inlineStr">
        <is>
          <t>Source</t>
        </is>
      </c>
    </row>
    <row r="29">
      <c r="A29" s="2" t="inlineStr">
        <is>
          <t>OnlyFans</t>
        </is>
      </c>
      <c r="B29" s="83" t="n">
        <v>0.2</v>
      </c>
      <c r="C29" s="84" t="n">
        <v>0</v>
      </c>
      <c r="D29" s="84" t="n">
        <v>0</v>
      </c>
      <c r="F29" s="85" t="inlineStr">
        <is>
          <t>Derived: 1.41bn / 7.22bn = 19.5% (filed accounts)</t>
        </is>
      </c>
    </row>
    <row r="30">
      <c r="A30" s="2" t="inlineStr">
        <is>
          <t>Fansly</t>
        </is>
      </c>
      <c r="B30" s="83" t="n">
        <v>0.2</v>
      </c>
      <c r="C30" s="84" t="n">
        <v>0</v>
      </c>
      <c r="D30" s="84" t="n">
        <v>0</v>
      </c>
      <c r="F30" s="85" t="inlineStr">
        <is>
          <t>Not published in terms; widely reported</t>
        </is>
      </c>
    </row>
    <row r="31">
      <c r="A31" s="2" t="inlineStr">
        <is>
          <t>Fanfix</t>
        </is>
      </c>
      <c r="B31" s="83" t="n">
        <v>0.2</v>
      </c>
      <c r="C31" s="84" t="n">
        <v>0</v>
      </c>
      <c r="D31" s="84" t="n">
        <v>0</v>
      </c>
      <c r="F31" s="85" t="inlineStr">
        <is>
          <t>Not published in terms; widely reported</t>
        </is>
      </c>
    </row>
    <row r="32">
      <c r="A32" s="2" t="inlineStr">
        <is>
          <t>Patreon</t>
        </is>
      </c>
      <c r="B32" s="83" t="n">
        <v>0.1</v>
      </c>
      <c r="C32" s="84" t="n">
        <v>0</v>
      </c>
      <c r="D32" s="84" t="n">
        <v>0</v>
      </c>
      <c r="F32" s="85" t="inlineStr">
        <is>
          <t>Published: 10% all-in, processing included</t>
        </is>
      </c>
    </row>
    <row r="33">
      <c r="A33" s="2" t="inlineStr">
        <is>
          <t>Passes</t>
        </is>
      </c>
      <c r="B33" s="83" t="n">
        <v>0.1</v>
      </c>
      <c r="C33" s="84" t="n">
        <v>0.3</v>
      </c>
      <c r="D33" s="84" t="n">
        <v>29</v>
      </c>
      <c r="F33" s="85" t="inlineStr">
        <is>
          <t>Sacra; Passes rebrand release Apr 2026</t>
        </is>
      </c>
    </row>
    <row r="34">
      <c r="A34" s="2" t="inlineStr">
        <is>
          <t>Stride (proposed)</t>
        </is>
      </c>
      <c r="B34" s="83" t="n">
        <v>0.15</v>
      </c>
      <c r="C34" s="84" t="n">
        <v>0</v>
      </c>
      <c r="D34" s="84" t="n">
        <v>0</v>
      </c>
      <c r="F34" s="85" t="inlineStr">
        <is>
          <t>Our decision, see MarketModel</t>
        </is>
      </c>
    </row>
    <row r="36">
      <c r="A36" s="82" t="inlineStr">
        <is>
          <t>INTERMEDIARIES the athlete already pays</t>
        </is>
      </c>
    </row>
    <row r="37">
      <c r="A37" s="21" t="inlineStr">
        <is>
          <t>Sports agent: endorsement</t>
        </is>
      </c>
      <c r="B37" s="83" t="n">
        <v>0.1</v>
      </c>
      <c r="C37" s="83" t="n">
        <v>0.2</v>
      </c>
      <c r="F37" s="85" t="inlineStr">
        <is>
          <t>Unregulated; widely reported, no primary source</t>
        </is>
      </c>
    </row>
    <row r="38">
      <c r="A38" s="21" t="inlineStr">
        <is>
          <t>Sports agent: playing contract</t>
        </is>
      </c>
      <c r="B38" s="83" t="n">
        <v>0.02</v>
      </c>
      <c r="C38" s="83" t="n">
        <v>0.05</v>
      </c>
      <c r="F38" s="85" t="inlineStr">
        <is>
          <t>NBPA reg. 4.B (Sept 2025); FIFA FFAR art. 15</t>
        </is>
      </c>
    </row>
    <row r="39">
      <c r="A39" s="21" t="inlineStr">
        <is>
          <t>OnlyFans management agency</t>
        </is>
      </c>
      <c r="B39" s="83" t="n">
        <v>0.2</v>
      </c>
      <c r="C39" s="83" t="n">
        <v>0.5</v>
      </c>
      <c r="F39" s="85" t="inlineStr">
        <is>
          <t>Aruna Talent rate guide 2026, on top of the 20%</t>
        </is>
      </c>
    </row>
    <row r="42">
      <c r="A42" s="2" t="inlineStr">
        <is>
          <t>SOURCES</t>
        </is>
      </c>
    </row>
    <row r="43">
      <c r="A43" s="86" t="inlineStr">
        <is>
          <t>OnlyFans FY2024 filed accounts (Fenix International Ltd)</t>
        </is>
      </c>
      <c r="B43" s="87" t="inlineStr">
        <is>
          <t>https://find-and-update.company-information.service.gov.uk/company/10354575/filing-history</t>
        </is>
      </c>
    </row>
    <row r="44">
      <c r="A44" s="86" t="inlineStr">
        <is>
          <t>OnlyFans FY2024 as reported</t>
        </is>
      </c>
      <c r="B44" s="87" t="inlineStr">
        <is>
          <t>https://variety.com/2025/digital/news/onlyfans-fiscal-2024-revenue-earnings-1236495750/</t>
        </is>
      </c>
    </row>
    <row r="45">
      <c r="A45" s="86" t="inlineStr">
        <is>
          <t>Patreon published take rate</t>
        </is>
      </c>
      <c r="B45" s="87" t="inlineStr">
        <is>
          <t>https://www.patreon.com/pricing</t>
        </is>
      </c>
    </row>
    <row r="46">
      <c r="A46" s="86" t="inlineStr">
        <is>
          <t>Patreon creators</t>
        </is>
      </c>
      <c r="B46" s="87" t="inlineStr">
        <is>
          <t>https://backlinko.com/patreon-users</t>
        </is>
      </c>
    </row>
    <row r="47">
      <c r="A47" s="86" t="inlineStr">
        <is>
          <t>Passes economics</t>
        </is>
      </c>
      <c r="B47" s="87" t="inlineStr">
        <is>
          <t>https://sacra.com/c/passes/</t>
        </is>
      </c>
    </row>
    <row r="48">
      <c r="A48" s="86" t="inlineStr">
        <is>
          <t>Fanfix creator terms (states no take rate)</t>
        </is>
      </c>
      <c r="B48" s="87" t="inlineStr">
        <is>
          <t>https://auth.fanfix.io/creator-terms-of-use</t>
        </is>
      </c>
    </row>
    <row r="49">
      <c r="A49" s="86" t="inlineStr">
        <is>
          <t>Agency commissions</t>
        </is>
      </c>
      <c r="B49" s="87" t="inlineStr">
        <is>
          <t>https://arunatalent.com/blog/onlyfans-agency-commission-rates/</t>
        </is>
      </c>
    </row>
    <row r="50">
      <c r="A50" s="86" t="inlineStr">
        <is>
          <t>NBPA agent fee cap (amended Sept 2025)</t>
        </is>
      </c>
      <c r="B50" s="87" t="inlineStr">
        <is>
          <t>https://imgix.cosmicjs.com/cd844850-97c7-11f0-91fa-d9e1671c2776-NBPA-REGULATIONS-GOVERNING-PLAYER-AGENTS-09-2025.pdf</t>
        </is>
      </c>
    </row>
    <row r="51">
      <c r="A51" s="86" t="inlineStr">
        <is>
          <t>FIFA Football Agent Regulations art. 15</t>
        </is>
      </c>
      <c r="B51" s="87" t="inlineStr">
        <is>
          <t>https://digitalhub.fifa.com/m/1e7b741fa0fae779/original/FIFA-Football-Agent-Regulations.pdf</t>
        </is>
      </c>
    </row>
    <row r="52">
      <c r="A52" s="86" t="inlineStr">
        <is>
          <t>CJEU upholds the FIFA fee cap (16 Jul 2026)</t>
        </is>
      </c>
      <c r="B52" s="87" t="inlineStr">
        <is>
          <t>https://inside.fifa.com/news/welcomes-court-of-justice-european-union-decision-football-agent-regulations</t>
        </is>
      </c>
    </row>
    <row r="53">
      <c r="A53" s="86" t="inlineStr">
        <is>
          <t>Eurobarometer 525</t>
        </is>
      </c>
      <c r="B53" s="87" t="inlineStr">
        <is>
          <t>https://europa.eu/eurobarometer/surveys/detail/2668</t>
        </is>
      </c>
    </row>
    <row r="54">
      <c r="A54" s="86" t="inlineStr">
        <is>
          <t>FIP World Padel Report 2025</t>
        </is>
      </c>
      <c r="B54" s="87" t="inlineStr">
        <is>
          <t>https://www.padelfip.com/2025/12/online-the-fip-world-padel-report-2025-a-comprehensive-analysis-of-a-sport-in-constant-growth/</t>
        </is>
      </c>
    </row>
    <row r="55">
      <c r="A55" s="86" t="inlineStr">
        <is>
          <t>Stripe EU pricing</t>
        </is>
      </c>
      <c r="B55" s="87" t="inlineStr">
        <is>
          <t>https://stripe.com/es/pricing</t>
        </is>
      </c>
    </row>
    <row r="56">
      <c r="A56" s="86" t="inlineStr">
        <is>
          <t>TEKTA launch</t>
        </is>
      </c>
      <c r="B56" s="87" t="inlineStr">
        <is>
          <t>https://www.publicisgroupe.com/en/news/press-releases/publicis-sports-and-travis-kelce-s-tekta-join-forces-to-reimagine-the-future-of-nil-marketing</t>
        </is>
      </c>
    </row>
    <row r="57">
      <c r="A57" s="86" t="inlineStr">
        <is>
          <t>Stripe Connect age</t>
        </is>
      </c>
      <c r="B57" s="87" t="inlineStr">
        <is>
          <t>https://support.stripe.com/questions/age-requirement-to-create-a-stripe-account</t>
        </is>
      </c>
    </row>
  </sheetData>
  <mergeCells count="15">
    <mergeCell ref="B44:F44"/>
    <mergeCell ref="B53:F53"/>
    <mergeCell ref="B43:F43"/>
    <mergeCell ref="B56:F56"/>
    <mergeCell ref="B55:F55"/>
    <mergeCell ref="B47:F47"/>
    <mergeCell ref="B48:F48"/>
    <mergeCell ref="B54:F54"/>
    <mergeCell ref="B51:F51"/>
    <mergeCell ref="B45:F45"/>
    <mergeCell ref="B46:F46"/>
    <mergeCell ref="B50:F50"/>
    <mergeCell ref="B52:F52"/>
    <mergeCell ref="B57:F57"/>
    <mergeCell ref="B49:F49"/>
  </mergeCells>
  <hyperlinks>
    <hyperlink xmlns:r="http://schemas.openxmlformats.org/officeDocument/2006/relationships" ref="B43" r:id="rId1"/>
    <hyperlink xmlns:r="http://schemas.openxmlformats.org/officeDocument/2006/relationships" ref="B44" r:id="rId2"/>
    <hyperlink xmlns:r="http://schemas.openxmlformats.org/officeDocument/2006/relationships" ref="B45" r:id="rId3"/>
    <hyperlink xmlns:r="http://schemas.openxmlformats.org/officeDocument/2006/relationships" ref="B46" r:id="rId4"/>
    <hyperlink xmlns:r="http://schemas.openxmlformats.org/officeDocument/2006/relationships" ref="B47" r:id="rId5"/>
    <hyperlink xmlns:r="http://schemas.openxmlformats.org/officeDocument/2006/relationships" ref="B48" r:id="rId6"/>
    <hyperlink xmlns:r="http://schemas.openxmlformats.org/officeDocument/2006/relationships" ref="B49" r:id="rId7"/>
    <hyperlink xmlns:r="http://schemas.openxmlformats.org/officeDocument/2006/relationships" ref="B50" r:id="rId8"/>
    <hyperlink xmlns:r="http://schemas.openxmlformats.org/officeDocument/2006/relationships" ref="B51" r:id="rId9"/>
    <hyperlink xmlns:r="http://schemas.openxmlformats.org/officeDocument/2006/relationships" ref="B52" r:id="rId10"/>
    <hyperlink xmlns:r="http://schemas.openxmlformats.org/officeDocument/2006/relationships" ref="B53" r:id="rId11"/>
    <hyperlink xmlns:r="http://schemas.openxmlformats.org/officeDocument/2006/relationships" ref="B54" r:id="rId12"/>
    <hyperlink xmlns:r="http://schemas.openxmlformats.org/officeDocument/2006/relationships" ref="B55" r:id="rId13"/>
    <hyperlink xmlns:r="http://schemas.openxmlformats.org/officeDocument/2006/relationships" ref="B56" r:id="rId14"/>
    <hyperlink xmlns:r="http://schemas.openxmlformats.org/officeDocument/2006/relationships" ref="B57" r:id="rId1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62"/>
  <sheetViews>
    <sheetView workbookViewId="0">
      <selection activeCell="A1" sqref="A1"/>
    </sheetView>
  </sheetViews>
  <sheetFormatPr baseColWidth="8" defaultRowHeight="15"/>
  <cols>
    <col width="46" customWidth="1" min="1" max="1"/>
    <col width="16" customWidth="1" min="2" max="2"/>
    <col width="14" customWidth="1" min="3" max="3"/>
    <col width="62" customWidth="1" min="4" max="4"/>
  </cols>
  <sheetData>
    <row r="1">
      <c r="A1" s="1" t="inlineStr">
        <is>
          <t>Market Model - how the comparables become our assumptions</t>
        </is>
      </c>
    </row>
    <row r="2">
      <c r="A2" s="73" t="inlineStr">
        <is>
          <t>Each block starts from a published figure on Comparables and ends in a number the Assumptions sheet uses. Adjustment factors are blue because they are our judgement; everything else is a formula you can trace.</t>
        </is>
      </c>
    </row>
    <row r="3">
      <c r="C3" s="11" t="inlineStr">
        <is>
          <t>Input: change me</t>
        </is>
      </c>
      <c r="D3" s="12" t="n"/>
      <c r="E3" s="13" t="inlineStr">
        <is>
          <t>Sourced fact</t>
        </is>
      </c>
      <c r="F3" s="12" t="n"/>
      <c r="G3" s="14" t="inlineStr">
        <is>
          <t>Formula (this sheet)</t>
        </is>
      </c>
      <c r="H3" s="12" t="n"/>
      <c r="I3" s="15" t="inlineStr">
        <is>
          <t>Formula (other sheet)</t>
        </is>
      </c>
      <c r="J3" s="12" t="n"/>
      <c r="K3" s="16" t="inlineStr">
        <is>
          <t>Total</t>
        </is>
      </c>
      <c r="L3" s="12" t="n"/>
    </row>
    <row r="5">
      <c r="A5" s="19" t="inlineStr">
        <is>
          <t>1. PAYING FANS PER MONETISING ATHLETE  -&gt; Assumptions</t>
        </is>
      </c>
      <c r="B5" s="20" t="n"/>
      <c r="C5" s="20" t="n"/>
      <c r="D5" s="20" t="n"/>
    </row>
    <row r="6" ht="30" customHeight="1">
      <c r="A6" s="21" t="inlineStr">
        <is>
          <t>Patreon active paying members</t>
        </is>
      </c>
      <c r="B6" s="25">
        <f>Comparables!B14</f>
        <v/>
      </c>
      <c r="D6" s="88" t="inlineStr">
        <is>
          <t>Published</t>
        </is>
      </c>
    </row>
    <row r="7" ht="30" customHeight="1">
      <c r="A7" s="21" t="inlineStr">
        <is>
          <t>Patreon creators with &gt;=1 paying member</t>
        </is>
      </c>
      <c r="B7" s="25">
        <f>Comparables!B12</f>
        <v/>
      </c>
      <c r="D7" s="88" t="inlineStr">
        <is>
          <t>Published</t>
        </is>
      </c>
    </row>
    <row r="8" ht="30" customHeight="1">
      <c r="A8" s="21" t="inlineStr">
        <is>
          <t>Members per paying creator</t>
        </is>
      </c>
      <c r="B8" s="69">
        <f>B6/B7</f>
        <v/>
      </c>
      <c r="D8" s="88" t="inlineStr">
        <is>
          <t>The single most useful benchmark we found: it is measured, not modelled.</t>
        </is>
      </c>
    </row>
    <row r="9" ht="30" customHeight="1">
      <c r="A9" s="21" t="inlineStr">
        <is>
          <t>OnlyFans fan accounts per creator</t>
        </is>
      </c>
      <c r="B9" s="39">
        <f>Comparables!B9/Comparables!B8</f>
        <v/>
      </c>
      <c r="D9" s="88" t="inlineStr">
        <is>
          <t>Fan ACCOUNTS, not paying fans - most follow free. Shown as an upper bound only.</t>
        </is>
      </c>
    </row>
    <row r="10" ht="30" customHeight="1">
      <c r="A10" s="21" t="inlineStr">
        <is>
          <t>Niche adjustment</t>
        </is>
      </c>
      <c r="B10" s="32" t="n">
        <v>1.06</v>
      </c>
      <c r="D10" s="88" t="inlineStr">
        <is>
          <t>OUR JUDGEMENT: +6% on the Patreon benchmark. Sport audiences are smaller but convert better, because the fan usually does the sport themselves.</t>
        </is>
      </c>
    </row>
    <row r="11" ht="30" customHeight="1">
      <c r="A11" s="21" t="inlineStr">
        <is>
          <t>Popular adjustment</t>
        </is>
      </c>
      <c r="B11" s="32" t="n">
        <v>1.37</v>
      </c>
      <c r="D11" s="88" t="inlineStr">
        <is>
          <t>OUR JUDGEMENT: +37%. Much larger followings, much weaker conversion - more paying fans in absolute terms even though a smaller share converts.</t>
        </is>
      </c>
    </row>
    <row r="12" ht="15" customHeight="1">
      <c r="A12" s="2" t="inlineStr">
        <is>
          <t>→ Niche fans per athlete, mature</t>
        </is>
      </c>
      <c r="B12" s="89">
        <f>B8*B10</f>
        <v/>
      </c>
      <c r="D12" s="88" t="inlineStr"/>
    </row>
    <row r="13" ht="15" customHeight="1">
      <c r="A13" s="2" t="inlineStr">
        <is>
          <t>→ Popular fans per athlete, mature</t>
        </is>
      </c>
      <c r="B13" s="89">
        <f>B8*B11</f>
        <v/>
      </c>
      <c r="D13" s="88" t="inlineStr"/>
    </row>
    <row r="14">
      <c r="A14" s="19" t="inlineStr">
        <is>
          <t>2. FAN ARPU  -&gt; Assumptions</t>
        </is>
      </c>
      <c r="B14" s="20" t="n"/>
      <c r="C14" s="20" t="n"/>
      <c r="D14" s="20" t="n"/>
    </row>
    <row r="15" ht="15" customHeight="1">
      <c r="A15" s="21" t="inlineStr">
        <is>
          <t>Tier 1 price (Supporter)</t>
        </is>
      </c>
      <c r="B15" s="28" t="n">
        <v>4.99</v>
      </c>
      <c r="D15" s="88" t="inlineStr"/>
    </row>
    <row r="16" ht="15" customHeight="1">
      <c r="A16" s="21" t="inlineStr">
        <is>
          <t>Tier 2 price (Insider)</t>
        </is>
      </c>
      <c r="B16" s="28" t="n">
        <v>9.99</v>
      </c>
      <c r="D16" s="88" t="inlineStr"/>
    </row>
    <row r="17" ht="15" customHeight="1">
      <c r="A17" s="21" t="inlineStr">
        <is>
          <t>Tier 3 price (Inner circle)</t>
        </is>
      </c>
      <c r="B17" s="28" t="n">
        <v>24.99</v>
      </c>
      <c r="D17" s="88" t="inlineStr"/>
    </row>
    <row r="18" ht="30" customHeight="1">
      <c r="A18" s="21" t="inlineStr">
        <is>
          <t>Mix - Tier 1</t>
        </is>
      </c>
      <c r="B18" s="24" t="n">
        <v>0.4</v>
      </c>
      <c r="D18" s="88" t="inlineStr">
        <is>
          <t>Assumed distribution; replace with the real tier mix after P1.</t>
        </is>
      </c>
    </row>
    <row r="19" ht="15" customHeight="1">
      <c r="A19" s="21" t="inlineStr">
        <is>
          <t>Mix - Tier 2</t>
        </is>
      </c>
      <c r="B19" s="24" t="n">
        <v>0.5</v>
      </c>
      <c r="D19" s="88" t="inlineStr"/>
    </row>
    <row r="20" ht="15" customHeight="1">
      <c r="A20" s="21" t="inlineStr">
        <is>
          <t>Mix - Tier 3</t>
        </is>
      </c>
      <c r="B20" s="24" t="n">
        <v>0.1</v>
      </c>
      <c r="D20" s="88" t="inlineStr"/>
    </row>
    <row r="21" ht="15" customHeight="1">
      <c r="A21" s="21" t="inlineStr">
        <is>
          <t>Mix check (must be 100%)</t>
        </is>
      </c>
      <c r="B21" s="56">
        <f>B18+B19+B20</f>
        <v/>
      </c>
      <c r="D21" s="88" t="inlineStr"/>
    </row>
    <row r="22" ht="30" customHeight="1">
      <c r="A22" s="2" t="inlineStr">
        <is>
          <t>→ Weighted ARPU per month</t>
        </is>
      </c>
      <c r="B22" s="90">
        <f>B15*B18+B16*B19+B17*B20</f>
        <v/>
      </c>
      <c r="D22" s="88" t="inlineStr">
        <is>
          <t>Cross-check: Patreon reports $6.10 average support and a $8-12 typical band. Landing inside that band from an independent tier build is a good sign.</t>
        </is>
      </c>
    </row>
    <row r="23" ht="30" customHeight="1">
      <c r="A23" s="21" t="inlineStr">
        <is>
          <t>Patreon average support (cross-check)</t>
        </is>
      </c>
      <c r="B23" s="37">
        <f>Comparables!B16</f>
        <v/>
      </c>
      <c r="D23" s="88" t="inlineStr">
        <is>
          <t>Published average - below our figure because Patreon's long tail includes many $1-3 tiers. Our EUR 9.49 sits inside their $8-12 typical band.</t>
        </is>
      </c>
    </row>
    <row r="24" ht="30" customHeight="1">
      <c r="A24" s="21" t="inlineStr">
        <is>
          <t>Niche ARPU factor</t>
        </is>
      </c>
      <c r="B24" s="32" t="n">
        <v>1</v>
      </c>
      <c r="D24" s="88" t="inlineStr">
        <is>
          <t>Niche fans buy knowledge and sit at the tier mix above.</t>
        </is>
      </c>
    </row>
    <row r="25" ht="30" customHeight="1">
      <c r="A25" s="21" t="inlineStr">
        <is>
          <t>Popular ARPU factor</t>
        </is>
      </c>
      <c r="B25" s="32" t="n">
        <v>0.87</v>
      </c>
      <c r="D25" s="88" t="inlineStr">
        <is>
          <t>OUR JUDGEMENT: -13%. Popular-sport fans skew to the cheapest tier.</t>
        </is>
      </c>
    </row>
    <row r="26" ht="15" customHeight="1">
      <c r="A26" s="2" t="inlineStr">
        <is>
          <t>→ Niche ARPU, mature</t>
        </is>
      </c>
      <c r="B26" s="90">
        <f>B22*B24</f>
        <v/>
      </c>
      <c r="D26" s="88" t="inlineStr"/>
    </row>
    <row r="27" ht="15" customHeight="1">
      <c r="A27" s="2" t="inlineStr">
        <is>
          <t>→ Popular ARPU, mature</t>
        </is>
      </c>
      <c r="B27" s="90">
        <f>B22*B25</f>
        <v/>
      </c>
      <c r="D27" s="88" t="inlineStr"/>
    </row>
    <row r="28">
      <c r="A28" s="19" t="inlineStr">
        <is>
          <t>3. FAN CHURN  -&gt; Assumptions</t>
        </is>
      </c>
      <c r="B28" s="20" t="n"/>
      <c r="C28" s="20" t="n"/>
      <c r="D28" s="20" t="n"/>
    </row>
    <row r="29" ht="15" customHeight="1">
      <c r="A29" s="21" t="inlineStr">
        <is>
          <t>Patreon monthly churn (low)</t>
        </is>
      </c>
      <c r="B29" s="31">
        <f>Comparables!B19</f>
        <v/>
      </c>
      <c r="D29" s="88" t="inlineStr"/>
    </row>
    <row r="30" ht="15" customHeight="1">
      <c r="A30" s="21" t="inlineStr">
        <is>
          <t>Patreon monthly churn (high)</t>
        </is>
      </c>
      <c r="B30" s="31">
        <f>Comparables!B20</f>
        <v/>
      </c>
      <c r="D30" s="88" t="inlineStr"/>
    </row>
    <row r="31" ht="15" customHeight="1">
      <c r="A31" s="21" t="inlineStr">
        <is>
          <t>Benchmark midpoint</t>
        </is>
      </c>
      <c r="B31" s="56">
        <f>(B29+B30)/2</f>
        <v/>
      </c>
      <c r="D31" s="88" t="inlineStr"/>
    </row>
    <row r="32" ht="30" customHeight="1">
      <c r="A32" s="21" t="inlineStr">
        <is>
          <t>Annual-plan churn multiplier</t>
        </is>
      </c>
      <c r="B32" s="41">
        <f>Comparables!B21</f>
        <v/>
      </c>
      <c r="D32" s="88" t="inlineStr">
        <is>
          <t>Patreon: annual patrons churn at one third the monthly rate.</t>
        </is>
      </c>
    </row>
    <row r="33" ht="30" customHeight="1">
      <c r="A33" s="21" t="inlineStr">
        <is>
          <t>Share of subscribers on annual plans</t>
        </is>
      </c>
      <c r="B33" s="24" t="n">
        <v>0.3</v>
      </c>
      <c r="D33" s="88" t="inlineStr">
        <is>
          <t>Our target for the season pass. This is the one lever that improves churn without changing the product.</t>
        </is>
      </c>
    </row>
    <row r="34" ht="30" customHeight="1">
      <c r="A34" s="21" t="inlineStr">
        <is>
          <t>Blended benchmark churn</t>
        </is>
      </c>
      <c r="B34" s="56">
        <f>B31*(1-B33)+B31*B32*B33</f>
        <v/>
      </c>
      <c r="D34" s="88" t="inlineStr">
        <is>
          <t>What a Patreon-like platform would see with our annual mix.</t>
        </is>
      </c>
    </row>
    <row r="35" ht="30" customHeight="1">
      <c r="A35" s="21" t="inlineStr">
        <is>
          <t>Niche engagement factor</t>
        </is>
      </c>
      <c r="B35" s="32" t="n">
        <v>0.55</v>
      </c>
      <c r="D35" s="88" t="inlineStr">
        <is>
          <t>OUR CLAIM, UNTESTED, AND THE MOST OPTIMISTIC JUDGEMENT IN THE MODEL: this says niche fans churn 45% SLOWER than the Patreon benchmark, because training content is habitual and competitive seasons create renewal moments. Nothing yet proves it. If it is wrong and we are merely at benchmark, Y10 revenue falls by roughly EUR 7M.</t>
        </is>
      </c>
    </row>
    <row r="36" ht="30" customHeight="1">
      <c r="A36" s="21" t="inlineStr">
        <is>
          <t>Popular engagement factor</t>
        </is>
      </c>
      <c r="B36" s="32" t="n">
        <v>0.85</v>
      </c>
      <c r="D36" s="88" t="inlineStr">
        <is>
          <t>OUR JUDGEMENT: 15% better than benchmark. Impulse follows after a result, with many free substitutes - but still a sport fan rather than a general creator audience.</t>
        </is>
      </c>
    </row>
    <row r="37" ht="15" customHeight="1">
      <c r="A37" s="2" t="inlineStr">
        <is>
          <t>→ Niche churn, mature</t>
        </is>
      </c>
      <c r="B37" s="91">
        <f>B34*B35</f>
        <v/>
      </c>
      <c r="D37" s="88" t="inlineStr"/>
    </row>
    <row r="38" ht="15" customHeight="1">
      <c r="A38" s="2" t="inlineStr">
        <is>
          <t>→ Popular churn, mature</t>
        </is>
      </c>
      <c r="B38" s="91">
        <f>B34*B36</f>
        <v/>
      </c>
      <c r="D38" s="88" t="inlineStr"/>
    </row>
    <row r="39">
      <c r="A39" s="19" t="inlineStr">
        <is>
          <t>4. WHAT AN ATHLETE ACTUALLY EARNS  (sanity check, not an input)</t>
        </is>
      </c>
      <c r="B39" s="20" t="n"/>
      <c r="C39" s="20" t="n"/>
      <c r="D39" s="20" t="n"/>
    </row>
    <row r="40" ht="30" customHeight="1">
      <c r="A40" s="21" t="inlineStr">
        <is>
          <t>OnlyFans: paid to creators / creator accounts</t>
        </is>
      </c>
      <c r="B40" s="37">
        <f>Comparables!B7/Comparables!B8/12</f>
        <v/>
      </c>
      <c r="D40" s="88" t="inlineStr">
        <is>
          <t>Includes dormant accounts, so this is a floor.</t>
        </is>
      </c>
    </row>
    <row r="41" ht="30" customHeight="1">
      <c r="A41" s="21" t="inlineStr">
        <is>
          <t>Patreon: paid to creators / paying creators</t>
        </is>
      </c>
      <c r="B41" s="37">
        <f>Comparables!B15/Comparables!B12/12</f>
        <v/>
      </c>
      <c r="D41" s="88" t="inlineStr">
        <is>
          <t>Denominator is creators WITH members, so this is a ceiling.</t>
        </is>
      </c>
    </row>
    <row r="42" ht="30" customHeight="1">
      <c r="A42" s="2" t="inlineStr">
        <is>
          <t>Stride: modelled niche athlete, mature</t>
        </is>
      </c>
      <c r="B42" s="90">
        <f>B12*B22*(1-Assumptions!$C$40)</f>
        <v/>
      </c>
      <c r="D42" s="88" t="inlineStr">
        <is>
          <t>Ours sits between the two, which is where a plausible figure should sit.</t>
        </is>
      </c>
    </row>
    <row r="43" ht="30" customHeight="1">
      <c r="A43" s="21" t="inlineStr">
        <is>
          <t>Revenue share taken by top 0.1% (OnlyFans)</t>
        </is>
      </c>
      <c r="B43" s="31">
        <f>Comparables!B11</f>
        <v/>
      </c>
      <c r="D43" s="88" t="inlineStr">
        <is>
          <t>THE CAVEAT ON EVERY AVERAGE ABOVE: earnings follow a power law. Totals are unaffected, but the median athlete earns far less than the mean. Do not pitch the mean to an athlete.</t>
        </is>
      </c>
    </row>
    <row r="44">
      <c r="A44" s="19" t="inlineStr">
        <is>
          <t>5. TAKE RATE - what an athlete keeps, by platform</t>
        </is>
      </c>
      <c r="B44" s="20" t="n"/>
      <c r="C44" s="20" t="n"/>
      <c r="D44" s="20" t="n"/>
    </row>
    <row r="45" ht="30" customHeight="1">
      <c r="A45" s="21" t="inlineStr">
        <is>
          <t>USD to EUR</t>
        </is>
      </c>
      <c r="B45" s="32" t="n">
        <v>0.92</v>
      </c>
      <c r="D45" s="88" t="inlineStr">
        <is>
          <t>Comparables are published in USD; this model is in EUR. Applied to the per-transaction and monthly creator fees below.</t>
        </is>
      </c>
    </row>
    <row r="46" ht="30" customHeight="1">
      <c r="A46" s="21" t="inlineStr">
        <is>
          <t>Athlete monthly fan revenue (test case)</t>
        </is>
      </c>
      <c r="B46" s="28" t="n">
        <v>300</v>
      </c>
      <c r="D46" s="88" t="inlineStr">
        <is>
          <t>Change this to see who is cheapest at any revenue level.</t>
        </is>
      </c>
    </row>
    <row r="47" ht="30" customHeight="1">
      <c r="A47" s="21" t="inlineStr">
        <is>
          <t xml:space="preserve">  OnlyFans - athlete keeps</t>
        </is>
      </c>
      <c r="B47" s="37">
        <f>B46*(1-Comparables!B29)-B46/Assumptions!$C$54*Comparables!C29*B45-Comparables!D29*B45</f>
        <v/>
      </c>
      <c r="D47" s="88" t="inlineStr">
        <is>
          <t>Headline take, plus per-transaction and monthly creator fees where they exist.</t>
        </is>
      </c>
    </row>
    <row r="48" ht="30" customHeight="1">
      <c r="A48" s="21" t="inlineStr">
        <is>
          <t xml:space="preserve">  Patreon - athlete keeps</t>
        </is>
      </c>
      <c r="B48" s="37">
        <f>B46*(1-Comparables!B32)-B46/Assumptions!$C$54*Comparables!C32*B45-Comparables!D32*B45</f>
        <v/>
      </c>
      <c r="D48" s="88" t="inlineStr">
        <is>
          <t>Headline take, plus per-transaction and monthly creator fees where they exist.</t>
        </is>
      </c>
    </row>
    <row r="49" ht="30" customHeight="1">
      <c r="A49" s="21" t="inlineStr">
        <is>
          <t xml:space="preserve">  Passes - athlete keeps</t>
        </is>
      </c>
      <c r="B49" s="37">
        <f>B46*(1-Comparables!B33)-B46/Assumptions!$C$54*Comparables!C33*B45-Comparables!D33*B45</f>
        <v/>
      </c>
      <c r="D49" s="88" t="inlineStr">
        <is>
          <t>Headline take, plus per-transaction and monthly creator fees where they exist.</t>
        </is>
      </c>
    </row>
    <row r="50" ht="30" customHeight="1">
      <c r="A50" s="21" t="inlineStr">
        <is>
          <t xml:space="preserve">  Stride (proposed) - athlete keeps</t>
        </is>
      </c>
      <c r="B50" s="37">
        <f>B46*(1-Comparables!B34)-B46/Assumptions!$C$54*Comparables!C34*B45-Comparables!D34*B45</f>
        <v/>
      </c>
      <c r="D50" s="88" t="inlineStr">
        <is>
          <t>Headline take, plus per-transaction and monthly creator fees where they exist.</t>
        </is>
      </c>
    </row>
    <row r="51" ht="30" customHeight="1">
      <c r="A51" s="2" t="inlineStr">
        <is>
          <t>Crossover vs Passes (EUR/month)</t>
        </is>
      </c>
      <c r="B51" s="38">
        <f>Comparables!D33*B45/((Comparables!B34-Comparables!B33)-Comparables!C33*B45/Assumptions!$C$54)</f>
        <v/>
      </c>
      <c r="D51" s="88" t="inlineStr">
        <is>
          <t>Below this, our flat 15% pays the athlete more than Passes' 10% plus fees. Our modelled athlete earns far less than this, so the long tail is on our side of the line.</t>
        </is>
      </c>
    </row>
    <row r="52">
      <c r="A52" s="19" t="inlineStr">
        <is>
          <t>6. MARKET SIZE  -&gt; sanity-checks the athlete trajectory</t>
        </is>
      </c>
      <c r="B52" s="20" t="n"/>
      <c r="C52" s="20" t="n"/>
      <c r="D52" s="20" t="n"/>
    </row>
    <row r="53" ht="30" customHeight="1">
      <c r="A53" s="21" t="inlineStr">
        <is>
          <t>Population, 34 countries in scope</t>
        </is>
      </c>
      <c r="B53" s="92" t="n">
        <v>2726.2</v>
      </c>
      <c r="D53" s="88" t="inlineStr">
        <is>
          <t>Millions. Eurostat / national statistics offices.</t>
        </is>
      </c>
    </row>
    <row r="54" ht="30" customHeight="1">
      <c r="A54" s="21" t="inlineStr">
        <is>
          <t>Population, Spain</t>
        </is>
      </c>
      <c r="B54" s="92" t="n">
        <v>48.6</v>
      </c>
      <c r="D54" s="88" t="inlineStr">
        <is>
          <t>Millions.</t>
        </is>
      </c>
    </row>
    <row r="55" ht="30" customHeight="1">
      <c r="A55" s="21" t="inlineStr">
        <is>
          <t>Share who do any sport (Spain)</t>
        </is>
      </c>
      <c r="B55" s="24" t="n">
        <v>0.5600000000000001</v>
      </c>
      <c r="D55" s="88" t="inlineStr">
        <is>
          <t>Eurobarometer 525 - Spain sits near the EU average of 55% who exercise at all.</t>
        </is>
      </c>
    </row>
    <row r="56" ht="30" customHeight="1">
      <c r="A56" s="21" t="inlineStr">
        <is>
          <t>Share with a public athletic identity</t>
        </is>
      </c>
      <c r="B56" s="24" t="n">
        <v>0.02</v>
      </c>
      <c r="D56" s="88" t="inlineStr">
        <is>
          <t>OUR ESTIMATE: competes, posts publicly, has a following worth sponsoring.</t>
        </is>
      </c>
    </row>
    <row r="57" ht="30" customHeight="1">
      <c r="A57" s="21" t="inlineStr">
        <is>
          <t>Share with commercial intent</t>
        </is>
      </c>
      <c r="B57" s="24" t="n">
        <v>0.25</v>
      </c>
      <c r="D57" s="88" t="inlineStr">
        <is>
          <t>OUR ESTIMATE: would monetise if the tooling existed.</t>
        </is>
      </c>
    </row>
    <row r="58" ht="15" customHeight="1">
      <c r="A58" s="2" t="inlineStr">
        <is>
          <t>→ Addressable athletes, Spain</t>
        </is>
      </c>
      <c r="B58" s="93">
        <f>B54*1000000*B55*B56*B57</f>
        <v/>
      </c>
      <c r="D58" s="88" t="inlineStr"/>
    </row>
    <row r="59" ht="30" customHeight="1">
      <c r="A59" s="2" t="inlineStr">
        <is>
          <t>→ Addressable athletes, all 34 countries</t>
        </is>
      </c>
      <c r="B59" s="93">
        <f>B53*1000000*0.5*B56*B57</f>
        <v/>
      </c>
      <c r="D59" s="88" t="inlineStr">
        <is>
          <t>Using a 50% blended participation rate across the 34 countries.</t>
        </is>
      </c>
    </row>
    <row r="60" ht="15" customHeight="1">
      <c r="A60" s="21" t="inlineStr">
        <is>
          <t>Y10 athletes in the plan</t>
        </is>
      </c>
      <c r="B60" s="46">
        <f>Assumptions!$L$5</f>
        <v/>
      </c>
      <c r="D60" s="88" t="inlineStr"/>
    </row>
    <row r="61" ht="15" customHeight="1">
      <c r="A61" s="2" t="inlineStr">
        <is>
          <t>→ Y10 penetration of Spain SAM</t>
        </is>
      </c>
      <c r="B61" s="91">
        <f>Assumptions!$L$5/B58</f>
        <v/>
      </c>
      <c r="D61" s="88" t="inlineStr"/>
    </row>
    <row r="62" ht="30" customHeight="1">
      <c r="A62" s="2" t="inlineStr">
        <is>
          <t>→ Y10 penetration of full TAM</t>
        </is>
      </c>
      <c r="B62" s="91">
        <f>Assumptions!$L$5/B59</f>
        <v/>
      </c>
      <c r="D62" s="88" t="inlineStr">
        <is>
          <t>If this reads as implausibly high, the athlete trajectory is too aggressive - that is exactly what this block exists to reveal.</t>
        </is>
      </c>
    </row>
  </sheetData>
  <mergeCells count="5">
    <mergeCell ref="C3:D3"/>
    <mergeCell ref="G3:H3"/>
    <mergeCell ref="E3:F3"/>
    <mergeCell ref="K3:L3"/>
    <mergeCell ref="I3:J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0"/>
  <sheetViews>
    <sheetView workbookViewId="0">
      <pane ySplit="4" topLeftCell="A5" activePane="bottomLeft" state="frozen"/>
      <selection pane="bottomLeft" activeCell="A1" sqref="A1"/>
    </sheetView>
  </sheetViews>
  <sheetFormatPr baseColWidth="8" defaultRowHeight="15"/>
  <cols>
    <col width="38" customWidth="1" min="1" max="1"/>
    <col width="12" customWidth="1" min="2" max="2"/>
    <col width="14" customWidth="1" min="3" max="3"/>
    <col width="54" customWidth="1" min="4" max="4"/>
    <col width="44" customWidth="1" min="5" max="5"/>
    <col width="11" customWidth="1" min="6" max="6"/>
    <col width="44" customWidth="1" min="7" max="7"/>
  </cols>
  <sheetData>
    <row r="1">
      <c r="A1" s="1" t="inlineStr">
        <is>
          <t>Research &amp; Benchmarking - where every assumption came from</t>
        </is>
      </c>
    </row>
    <row r="2">
      <c r="A2" s="73" t="inlineStr">
        <is>
          <t>SOURCED = published figure | BENCHMARKED = set against named comparables | DERIVED = computed from other assumptions | ESTIMATE = judgement, no benchmark yet</t>
        </is>
      </c>
    </row>
    <row r="4">
      <c r="A4" s="94" t="inlineStr">
        <is>
          <t>Assumption</t>
        </is>
      </c>
      <c r="B4" s="94" t="inlineStr">
        <is>
          <t>Model value</t>
        </is>
      </c>
      <c r="C4" s="94" t="inlineStr">
        <is>
          <t>Method</t>
        </is>
      </c>
      <c r="D4" s="94" t="inlineStr">
        <is>
          <t>Benchmark / comparable</t>
        </is>
      </c>
      <c r="E4" s="94" t="inlineStr">
        <is>
          <t>Source</t>
        </is>
      </c>
      <c r="F4" s="94" t="inlineStr">
        <is>
          <t>Confidence</t>
        </is>
      </c>
      <c r="G4" s="94" t="inlineStr">
        <is>
          <t>What would replace the estimate</t>
        </is>
      </c>
    </row>
    <row r="5">
      <c r="A5" s="19" t="inlineStr">
        <is>
          <t xml:space="preserve">: PRICING &amp; TAKE RATE: </t>
        </is>
      </c>
      <c r="B5" s="20" t="n"/>
      <c r="C5" s="20" t="n"/>
      <c r="D5" s="20" t="n"/>
      <c r="E5" s="20" t="n"/>
      <c r="F5" s="20" t="n"/>
      <c r="G5" s="20" t="n"/>
    </row>
    <row r="6" ht="58" customHeight="1">
      <c r="A6" s="95" t="inlineStr">
        <is>
          <t>Take rate on fan revenue</t>
        </is>
      </c>
      <c r="B6" s="41">
        <f>Assumptions!$C$40</f>
        <v/>
      </c>
      <c r="C6" s="96" t="inlineStr">
        <is>
          <t>BENCHMARKED</t>
        </is>
      </c>
      <c r="D6" s="97" t="inlineStr">
        <is>
          <t>Passes charges 10% but adds $0.30/txn and a $29/month creator fee; OnlyFans, Fansly and Fanfix are all 20%; Patreon 8-12%. A flat 15% with no monthly fee pays an athlete more than Passes for anyone under EUR 1,380/month of fan revenue.</t>
        </is>
      </c>
      <c r="E6" s="97" t="inlineStr">
        <is>
          <t>Sacra company profile (Passes); Passes rebrand release, Apr 2026; MEXC platform comparison 2026</t>
        </is>
      </c>
      <c r="F6" s="98" t="inlineStr">
        <is>
          <t>High</t>
        </is>
      </c>
      <c r="G6" s="97" t="inlineStr">
        <is>
          <t>Nothing. This is a pricing decision and the comparables are public.</t>
        </is>
      </c>
    </row>
    <row r="7" ht="58" customHeight="1">
      <c r="A7" s="95" t="inlineStr">
        <is>
          <t>Take rate on sponsorship</t>
        </is>
      </c>
      <c r="B7" s="41">
        <f>Assumptions!$C$41</f>
        <v/>
      </c>
      <c r="C7" s="96" t="inlineStr">
        <is>
          <t>BENCHMARKED</t>
        </is>
      </c>
      <c r="D7" s="97" t="inlineStr">
        <is>
          <t>Sports agents take 10-20% of an endorsement and 4-10% of a playing contract. On OnlyFans, management agencies take a further 20-50% on top of the platform's 20%.</t>
        </is>
      </c>
      <c r="E7" s="97" t="inlineStr">
        <is>
          <t>Oreate and Sapling agent-commission surveys; Aruna Talent agency rate guide 2026</t>
        </is>
      </c>
      <c r="F7" s="98" t="inlineStr">
        <is>
          <t>High</t>
        </is>
      </c>
      <c r="G7" s="97" t="inlineStr">
        <is>
          <t>Observed deal data once the marketplace is running.</t>
        </is>
      </c>
    </row>
    <row r="8" ht="58" customHeight="1">
      <c r="A8" s="95" t="inlineStr">
        <is>
          <t>Suggested tiers 4.99 / 9.99 / 24.99</t>
        </is>
      </c>
      <c r="B8" s="99" t="inlineStr">
        <is>
          <t>see model</t>
        </is>
      </c>
      <c r="C8" s="96" t="inlineStr">
        <is>
          <t>BENCHMARKED</t>
        </is>
      </c>
      <c r="D8" s="97" t="inlineStr">
        <is>
          <t>Patreon's typical patronage is quoted at $8-12/month, so the EUR 9.99 anchor sits inside the observed band. EUR 4.99 retains only 54% of our take after payment fees, against 71% at EUR 9.99: which is why the floor matters more than the take rate.</t>
        </is>
      </c>
      <c r="E8" s="97" t="inlineStr">
        <is>
          <t>Patreon 2024 Transparency Report; independent audits of ~1,200 creators</t>
        </is>
      </c>
      <c r="F8" s="100" t="inlineStr">
        <is>
          <t>Medium</t>
        </is>
      </c>
      <c r="G8" s="97" t="inlineStr">
        <is>
          <t>Our own tier mix after P1.</t>
        </is>
      </c>
    </row>
    <row r="9" ht="58" customHeight="1">
      <c r="A9" s="95" t="inlineStr">
        <is>
          <t>Season pass / annual billing</t>
        </is>
      </c>
      <c r="B9" s="99" t="inlineStr">
        <is>
          <t>see model</t>
        </is>
      </c>
      <c r="C9" s="101" t="inlineStr">
        <is>
          <t>SOURCED</t>
        </is>
      </c>
      <c r="D9" s="97" t="inlineStr">
        <is>
          <t>Patreon reports that annual patrons churn at ONE THIRD the rate of monthly patrons. This is the single strongest piece of evidence in the plan for pushing annual billing.</t>
        </is>
      </c>
      <c r="E9" s="97" t="inlineStr">
        <is>
          <t>Patreon 2024 Transparency Report</t>
        </is>
      </c>
      <c r="F9" s="98" t="inlineStr">
        <is>
          <t>High</t>
        </is>
      </c>
      <c r="G9" s="97" t="inlineStr">
        <is>
          <t>Already strong. Confirm on our own cohorts.</t>
        </is>
      </c>
    </row>
    <row r="10">
      <c r="A10" s="19" t="inlineStr">
        <is>
          <t xml:space="preserve">: FAN ECONOMICS: </t>
        </is>
      </c>
      <c r="B10" s="20" t="n"/>
      <c r="C10" s="20" t="n"/>
      <c r="D10" s="20" t="n"/>
      <c r="E10" s="20" t="n"/>
      <c r="F10" s="20" t="n"/>
      <c r="G10" s="20" t="n"/>
    </row>
    <row r="11" ht="58" customHeight="1">
      <c r="A11" s="95" t="inlineStr">
        <is>
          <t>Fan ARPU per month</t>
        </is>
      </c>
      <c r="B11" s="41">
        <f>Assumptions!$C$12</f>
        <v/>
      </c>
      <c r="C11" s="96" t="inlineStr">
        <is>
          <t>BENCHMARKED</t>
        </is>
      </c>
      <c r="D11" s="97" t="inlineStr">
        <is>
          <t>Patreon's average monthly support rose from $5.40 to $6.10 during 2024, with typical patronage quoted at $8-12. Our EUR 8.00-9.50 sits in the upper-middle of that range.</t>
        </is>
      </c>
      <c r="E11" s="97" t="inlineStr">
        <is>
          <t>Patreon 2024 Transparency Report</t>
        </is>
      </c>
      <c r="F11" s="100" t="inlineStr">
        <is>
          <t>Medium</t>
        </is>
      </c>
      <c r="G11" s="97" t="inlineStr">
        <is>
          <t>Actual ARPU by tier and sport after P1.</t>
        </is>
      </c>
    </row>
    <row r="12" ht="58" customHeight="1">
      <c r="A12" s="95" t="inlineStr">
        <is>
          <t>Fan churn per month</t>
        </is>
      </c>
      <c r="B12" s="41">
        <f>Assumptions!$C$13</f>
        <v/>
      </c>
      <c r="C12" s="102" t="inlineStr">
        <is>
          <t>ESTIMATE</t>
        </is>
      </c>
      <c r="D12" s="97" t="inlineStr">
        <is>
          <t>OPTIMISTIC AGAINST BENCHMARK. Patreon runs 10-15% monthly. We assume 6-9% (niche) and 9-13% (popular), arguing that training content is habitual and that competitive seasons create natural renewal moments. That argument is currently untested.</t>
        </is>
      </c>
      <c r="E12" s="97" t="inlineStr">
        <is>
          <t>Patreon 2024 Transparency Report (10-15%/month)</t>
        </is>
      </c>
      <c r="F12" s="103" t="inlineStr">
        <is>
          <t>Low</t>
        </is>
      </c>
      <c r="G12" s="97" t="inlineStr">
        <is>
          <t>THE most important number to measure in P1. Three months of real cohorts settles it. Until then the conservative case should be treated as the plan.</t>
        </is>
      </c>
    </row>
    <row r="13" ht="58" customHeight="1">
      <c r="A13" s="95" t="inlineStr">
        <is>
          <t>Paying fans per monetising athlete</t>
        </is>
      </c>
      <c r="B13" s="41">
        <f>Assumptions!$C$11</f>
        <v/>
      </c>
      <c r="C13" s="104" t="inlineStr">
        <is>
          <t>DERIVED</t>
        </is>
      </c>
      <c r="D13" s="97" t="inlineStr">
        <is>
          <t>20 rising to 48 over ten years. Cross-check: Patreon creators average $350/month and our modelled niche athlete at maturity earns about EUR 313/month, closely aligned, which is reassuring for an assumption built bottom-up rather than from a comparable.</t>
        </is>
      </c>
      <c r="E13" s="97" t="inlineStr">
        <is>
          <t>Patreon 2024 Transparency Report (creator average $350/month)</t>
        </is>
      </c>
      <c r="F13" s="100" t="inlineStr">
        <is>
          <t>Medium</t>
        </is>
      </c>
      <c r="G13" s="97" t="inlineStr">
        <is>
          <t>Observed fans per athlete, banded by follower count.</t>
        </is>
      </c>
    </row>
    <row r="14" ht="58" customHeight="1">
      <c r="A14" s="95" t="inlineStr">
        <is>
          <t>Share of athletes who monetise</t>
        </is>
      </c>
      <c r="B14" s="41">
        <f>Assumptions!$C$10</f>
        <v/>
      </c>
      <c r="C14" s="102" t="inlineStr">
        <is>
          <t>ESTIMATE</t>
        </is>
      </c>
      <c r="D14" s="97" t="inlineStr">
        <is>
          <t>28% rising to 50% for niche sports. No direct comparable exists: neither Patreon nor OnlyFans publishes activation rates for creators who sign up but never charge.</t>
        </is>
      </c>
      <c r="E14" s="97" t="inlineStr">
        <is>
          <t>None found</t>
        </is>
      </c>
      <c r="F14" s="103" t="inlineStr">
        <is>
          <t>Low</t>
        </is>
      </c>
      <c r="G14" s="97" t="inlineStr">
        <is>
          <t>Our own activation funnel, available from P1 onward.</t>
        </is>
      </c>
    </row>
    <row r="15" ht="58" customHeight="1">
      <c r="A15" s="95" t="inlineStr">
        <is>
          <t>Fan acquisition capacity</t>
        </is>
      </c>
      <c r="B15" s="99" t="inlineStr">
        <is>
          <t>see model</t>
        </is>
      </c>
      <c r="C15" s="102" t="inlineStr">
        <is>
          <t>ESTIMATE</t>
        </is>
      </c>
      <c r="D15" s="97" t="inlineStr">
        <is>
          <t>An athlete can recruit 30-69 new paying fans a year depending on segment. This ceiling is what makes churn bite in the model: without it, higher churn perversely RAISED revenue, because the year-end target was reachable at any churn rate.</t>
        </is>
      </c>
      <c r="E15" s="97" t="inlineStr">
        <is>
          <t>None: introduced to fix a modelling flaw found by stress testing</t>
        </is>
      </c>
      <c r="F15" s="103" t="inlineStr">
        <is>
          <t>Low</t>
        </is>
      </c>
      <c r="G15" s="97" t="inlineStr">
        <is>
          <t>Observed gross adds per athlete per year.</t>
        </is>
      </c>
    </row>
    <row r="16">
      <c r="A16" s="19" t="inlineStr">
        <is>
          <t xml:space="preserve">: PAYMENT RAILS: </t>
        </is>
      </c>
      <c r="B16" s="20" t="n"/>
      <c r="C16" s="20" t="n"/>
      <c r="D16" s="20" t="n"/>
      <c r="E16" s="20" t="n"/>
      <c r="F16" s="20" t="n"/>
      <c r="G16" s="20" t="n"/>
    </row>
    <row r="17" ht="58" customHeight="1">
      <c r="A17" s="95" t="inlineStr">
        <is>
          <t>PSP percentage fee</t>
        </is>
      </c>
      <c r="B17" s="41">
        <f>Assumptions!$C$50</f>
        <v/>
      </c>
      <c r="C17" s="101" t="inlineStr">
        <is>
          <t>SOURCED</t>
        </is>
      </c>
      <c r="D17" s="97" t="inlineStr">
        <is>
          <t>Stripe for a Spanish entity: 1.5% + EUR 0.25 on EEA domestic cards, 2.5% on UK cards, 3.25% on non-EEA. 1.9% is the blend for a mostly-European fan base. CORRECTION: an earlier version of this model used the US headline of 2.9% and overstated the largest cost line in the business by about a third.</t>
        </is>
      </c>
      <c r="E17" s="97" t="inlineStr">
        <is>
          <t>Stripe published EU/EEA pricing, 2026</t>
        </is>
      </c>
      <c r="F17" s="98" t="inlineStr">
        <is>
          <t>High</t>
        </is>
      </c>
      <c r="G17" s="97" t="inlineStr">
        <is>
          <t>Interchange-plus terms become negotiable above roughly EUR 5M processed.</t>
        </is>
      </c>
    </row>
    <row r="18" ht="58" customHeight="1">
      <c r="A18" s="95" t="inlineStr">
        <is>
          <t>PSP fixed fee per transaction</t>
        </is>
      </c>
      <c r="B18" s="41">
        <f>Assumptions!$C$51</f>
        <v/>
      </c>
      <c r="C18" s="101" t="inlineStr">
        <is>
          <t>SOURCED</t>
        </is>
      </c>
      <c r="D18" s="97" t="inlineStr">
        <is>
          <t>EUR 0.25 per transaction. On a EUR 4.99 tier that single fee is a third of our take, which is why the tier floor and annual billing move more margin than the take rate does.</t>
        </is>
      </c>
      <c r="E18" s="97" t="inlineStr">
        <is>
          <t>Stripe published pricing, 2026</t>
        </is>
      </c>
      <c r="F18" s="98" t="inlineStr">
        <is>
          <t>High</t>
        </is>
      </c>
      <c r="G18" s="97" t="inlineStr">
        <is>
          <t>Volume renegotiation; annual billing turns twelve fees into one.</t>
        </is>
      </c>
    </row>
    <row r="19" ht="58" customHeight="1">
      <c r="A19" s="95" t="inlineStr">
        <is>
          <t>Payout fees</t>
        </is>
      </c>
      <c r="B19" s="41">
        <f>Assumptions!$C$52</f>
        <v/>
      </c>
      <c r="C19" s="101" t="inlineStr">
        <is>
          <t>SOURCED</t>
        </is>
      </c>
      <c r="D19" s="97" t="inlineStr">
        <is>
          <t>Stripe Connect Express: roughly 0.25% + EUR 0.25 per payout, plus a monthly active-account fee that is not modelled as a separate line.</t>
        </is>
      </c>
      <c r="E19" s="97" t="inlineStr">
        <is>
          <t>Stripe Connect pricing, 2026</t>
        </is>
      </c>
      <c r="F19" s="100" t="inlineStr">
        <is>
          <t>Medium</t>
        </is>
      </c>
      <c r="G19" s="97" t="inlineStr">
        <is>
          <t>Actual payout frequency once athletes are onboarded.</t>
        </is>
      </c>
    </row>
    <row r="20">
      <c r="A20" s="19" t="inlineStr">
        <is>
          <t xml:space="preserve">: MARKET SIZING: </t>
        </is>
      </c>
      <c r="B20" s="20" t="n"/>
      <c r="C20" s="20" t="n"/>
      <c r="D20" s="20" t="n"/>
      <c r="E20" s="20" t="n"/>
      <c r="F20" s="20" t="n"/>
      <c r="G20" s="20" t="n"/>
    </row>
    <row r="21" ht="58" customHeight="1">
      <c r="A21" s="95" t="inlineStr">
        <is>
          <t>Sport participation by country</t>
        </is>
      </c>
      <c r="B21" s="99" t="inlineStr">
        <is>
          <t>see model</t>
        </is>
      </c>
      <c r="C21" s="102" t="inlineStr">
        <is>
          <t>ESTIMATE</t>
        </is>
      </c>
      <c r="D21" s="97" t="inlineStr">
        <is>
          <t>Eurobarometer 525, share who NEVER exercise: Finland 8%, Sweden 12%, Denmark 20%, Poland 65%, Greece 68%, Portugal 73%, EU-27 average 45%. Six of the 34 countries in the index are measured; the other 28 are estimates placed inside that distribution.</t>
        </is>
      </c>
      <c r="E21" s="97" t="inlineStr">
        <is>
          <t>Special Eurobarometer 525, Sport and Physical Activity, September 2022</t>
        </is>
      </c>
      <c r="F21" s="100" t="inlineStr">
        <is>
          <t>Medium</t>
        </is>
      </c>
      <c r="G21" s="97" t="inlineStr">
        <is>
          <t>Federation licence counts, published annually and free (CSD in Spain).</t>
        </is>
      </c>
    </row>
    <row r="22" ht="58" customHeight="1">
      <c r="A22" s="95" t="inlineStr">
        <is>
          <t>Padel market size</t>
        </is>
      </c>
      <c r="B22" s="99" t="inlineStr">
        <is>
          <t>see model</t>
        </is>
      </c>
      <c r="C22" s="101" t="inlineStr">
        <is>
          <t>SOURCED</t>
        </is>
      </c>
      <c r="D22" s="97" t="inlineStr">
        <is>
          <t>Spain has ~6.0M active players (12.7% of the population), 109,040 federation licences and 17,300+ courts; globally 35M+ players and 77,000+ courts. This is the clearest case for weighting a sport regionally rather than globally, padel scores 77.7 in Spain and 45.1 worldwide.</t>
        </is>
      </c>
      <c r="E22" s="97" t="inlineStr">
        <is>
          <t>FIP World Padel Report 2025</t>
        </is>
      </c>
      <c r="F22" s="98" t="inlineStr">
        <is>
          <t>High</t>
        </is>
      </c>
      <c r="G22" s="97" t="inlineStr">
        <is>
          <t>Annual FIP refresh.</t>
        </is>
      </c>
    </row>
    <row r="23" ht="58" customHeight="1">
      <c r="A23" s="95" t="inlineStr">
        <is>
          <t>Sports fandom by country</t>
        </is>
      </c>
      <c r="B23" s="99" t="inlineStr">
        <is>
          <t>see model</t>
        </is>
      </c>
      <c r="C23" s="102" t="inlineStr">
        <is>
          <t>ESTIMATE</t>
        </is>
      </c>
      <c r="D23" s="97" t="inlineStr">
        <is>
          <t>The weakest layer of the sport index, and it drives both the `demand` and `appetite` signals. Commercial audience panels (Nielsen Sports, YouGov) cost more than the entire Y1-Y2 analytics budget.</t>
        </is>
      </c>
      <c r="E23" s="97" t="inlineStr">
        <is>
          <t>None: reasoned estimates only</t>
        </is>
      </c>
      <c r="F23" s="103" t="inlineStr">
        <is>
          <t>Low</t>
        </is>
      </c>
      <c r="G23" s="97" t="inlineStr">
        <is>
          <t>Our own engagement data per sport per country once connectors are live. This is what makes the index self-improving rather than something anyone could copy.</t>
        </is>
      </c>
    </row>
    <row r="24" ht="58" customHeight="1">
      <c r="A24" s="95" t="inlineStr">
        <is>
          <t>Athlete count trajectory</t>
        </is>
      </c>
      <c r="B24" s="41">
        <f>Assumptions!$C$5</f>
        <v/>
      </c>
      <c r="C24" s="102" t="inlineStr">
        <is>
          <t>ESTIMATE</t>
        </is>
      </c>
      <c r="D24" s="97" t="inlineStr">
        <is>
          <t>400 rising to 40,000 over ten years. This is the PLAN, not a benchmark: marketing spend is derived from it at segment CAC, not the other way round. Everything in the model scales off this line.</t>
        </is>
      </c>
      <c r="E24" s="97" t="inlineStr">
        <is>
          <t>None: it is a target</t>
        </is>
      </c>
      <c r="F24" s="103" t="inlineStr">
        <is>
          <t>Low</t>
        </is>
      </c>
      <c r="G24" s="97" t="inlineStr">
        <is>
          <t>The pre-seed gate tests it directly: 400 athletes and EUR 10k MRR.</t>
        </is>
      </c>
    </row>
    <row r="25">
      <c r="A25" s="19" t="inlineStr">
        <is>
          <t xml:space="preserve">: COSTS: </t>
        </is>
      </c>
      <c r="B25" s="20" t="n"/>
      <c r="C25" s="20" t="n"/>
      <c r="D25" s="20" t="n"/>
      <c r="E25" s="20" t="n"/>
      <c r="F25" s="20" t="n"/>
      <c r="G25" s="20" t="n"/>
    </row>
    <row r="26" ht="58" customHeight="1">
      <c r="A26" s="95" t="inlineStr">
        <is>
          <t>Athlete CAC</t>
        </is>
      </c>
      <c r="B26" s="41">
        <f>Assumptions!$C$19</f>
        <v/>
      </c>
      <c r="C26" s="102" t="inlineStr">
        <is>
          <t>ESTIMATE</t>
        </is>
      </c>
      <c r="D26" s="97" t="inlineStr">
        <is>
          <t>EUR 16-36 for niche, EUR 40-88 for popular. The gap reflects displacing an existing agent relationship versus reaching someone with no representation at all. No published comparable exists for athlete acquisition in this segment.</t>
        </is>
      </c>
      <c r="E26" s="97" t="inlineStr">
        <is>
          <t>None found</t>
        </is>
      </c>
      <c r="F26" s="103" t="inlineStr">
        <is>
          <t>Low</t>
        </is>
      </c>
      <c r="G26" s="97" t="inlineStr">
        <is>
          <t>Measured CAC by channel from the first federation partnership.</t>
        </is>
      </c>
    </row>
    <row r="27" ht="58" customHeight="1">
      <c r="A27" s="95" t="inlineStr">
        <is>
          <t>Admission rate, direct applicants</t>
        </is>
      </c>
      <c r="B27" s="41">
        <f>Assumptions!$C$82</f>
        <v/>
      </c>
      <c r="C27" s="104" t="inlineStr">
        <is>
          <t>DERIVED</t>
        </is>
      </c>
      <c r="D27" s="97" t="inlineStr">
        <is>
          <t>20% of direct applicants are admitted, 25% go to a human, 40% are refused and 15% never finish the form. Not a judgement: it is the ops-load output of scripts/admission_stress.py run over the admission policy itself, so retuning a threshold moves this figure. The sweep asserts the model and the policy stay in step and fails if they drift.</t>
        </is>
      </c>
      <c r="E27" s="97" t="inlineStr">
        <is>
          <t>scripts/admission_stress.py, section 7, over a modelled applicant mix</t>
        </is>
      </c>
      <c r="F27" s="100" t="inlineStr">
        <is>
          <t>Medium</t>
        </is>
      </c>
      <c r="G27" s="97" t="inlineStr">
        <is>
          <t>Real intake data. The mix the sweep assumes is the soft part, not the arithmetic.</t>
        </is>
      </c>
    </row>
    <row r="28" ht="58" customHeight="1">
      <c r="A28" s="95" t="inlineStr">
        <is>
          <t>Admission rate, club-nominated</t>
        </is>
      </c>
      <c r="B28" s="41">
        <f>Assumptions!$C$84</f>
        <v/>
      </c>
      <c r="C28" s="102" t="inlineStr">
        <is>
          <t>ESTIMATE</t>
        </is>
      </c>
      <c r="D28" s="97" t="inlineStr">
        <is>
          <t>45% admitted against 20% direct. A verified club's nomination confers a credibility floor of 0.75 x its own legitimacy score, which carries a completed application over the admit line that would otherwise have gone to review. It cannot carry an empty one: no club can supply someone else's date of birth, so the uplift is real but bounded.</t>
        </is>
      </c>
      <c r="E28" s="97" t="inlineStr">
        <is>
          <t>None: the mechanism is built and tested, the conversion is not yet measured</t>
        </is>
      </c>
      <c r="F28" s="103" t="inlineStr">
        <is>
          <t>Low</t>
        </is>
      </c>
      <c r="G28" s="97" t="inlineStr">
        <is>
          <t>The first federation partnership: nominated applicants are tagged, so this is measurable from day one of it.</t>
        </is>
      </c>
    </row>
    <row r="29" ht="58" customHeight="1">
      <c r="A29" s="95" t="inlineStr">
        <is>
          <t>Athlete verification cost</t>
        </is>
      </c>
      <c r="B29" s="41">
        <f>Assumptions!$C$87</f>
        <v/>
      </c>
      <c r="C29" s="104" t="inlineStr">
        <is>
          <t>DERIVED</t>
        </is>
      </c>
      <c r="D29" s="97" t="inlineStr">
        <is>
          <t>Four minutes per manual review, priced at the same loaded salary the People line uses, over 1,700 productive hours. Peaks at EUR 47k and 0.64 reviewer-FTE in Y10, which is the finding rather than the cost: verification is not a money problem at this scale. The reason to automate it is latency: an athlete sitting in the queue is not listed, not matchable and not earning.</t>
        </is>
      </c>
      <c r="E29" s="97" t="inlineStr">
        <is>
          <t>Derived from the sweep's review volume and the model's own salary line</t>
        </is>
      </c>
      <c r="F29" s="100" t="inlineStr">
        <is>
          <t>Medium</t>
        </is>
      </c>
      <c r="G29" s="97" t="inlineStr">
        <is>
          <t>Timing real reviews. Four minutes is an estimate of a mechanical task.</t>
        </is>
      </c>
    </row>
    <row r="30" ht="58" customHeight="1">
      <c r="A30" s="95" t="inlineStr">
        <is>
          <t>Athlete CAC vs the funnel</t>
        </is>
      </c>
      <c r="B30" s="41">
        <f>Assumptions!$C$19</f>
        <v/>
      </c>
      <c r="C30" s="102" t="inlineStr">
        <is>
          <t>ESTIMATE</t>
        </is>
      </c>
      <c r="D30" s="97" t="inlineStr">
        <is>
          <t>Deliberately NOT multiplied by the admission funnel. Segment CAC is defined as the cost of landing one athlete ON the platform, so scaling it by 1/admission-rate would charge the same money twice. The Costs sheet carries a memo line showing what that CAC works out to per application (EUR 3.40 in Y1 rising to EUR 22), the figure to hold against what a channel actually charges per name reached.</t>
        </is>
      </c>
      <c r="E30" s="97" t="inlineStr">
        <is>
          <t>None: this is a definitional choice, made explicit so it is not silently reversed</t>
        </is>
      </c>
      <c r="F30" s="103" t="inlineStr">
        <is>
          <t>Low</t>
        </is>
      </c>
      <c r="G30" s="97" t="inlineStr">
        <is>
          <t>Channel-level spend against applications, which the funnel now records.</t>
        </is>
      </c>
    </row>
    <row r="31" ht="58" customHeight="1">
      <c r="A31" s="95" t="inlineStr">
        <is>
          <t>Loaded salary, Spain</t>
        </is>
      </c>
      <c r="B31" s="41">
        <f>Assumptions!$C$67</f>
        <v/>
      </c>
      <c r="C31" s="96" t="inlineStr">
        <is>
          <t>BENCHMARKED</t>
        </is>
      </c>
      <c r="D31" s="97" t="inlineStr">
        <is>
          <t>EUR 38k-76k loaded. Spanish employer social security adds roughly 31% on top of gross, so a senior engineer at ~EUR 55k gross costs ~EUR 72k, around half the London equivalent, which is a real argument for being in Spain rather than an accident of geography.</t>
        </is>
      </c>
      <c r="E31" s="97" t="inlineStr">
        <is>
          <t>Spanish Seguridad Social employer contribution rates</t>
        </is>
      </c>
      <c r="F31" s="100" t="inlineStr">
        <is>
          <t>Medium</t>
        </is>
      </c>
      <c r="G31" s="97" t="inlineStr">
        <is>
          <t>Actual offers accepted.</t>
        </is>
      </c>
    </row>
    <row r="32" ht="58" customHeight="1">
      <c r="A32" s="95" t="inlineStr">
        <is>
          <t>AWS infrastructure</t>
        </is>
      </c>
      <c r="B32" s="41">
        <f>Assumptions!$C$58</f>
        <v/>
      </c>
      <c r="C32" s="96" t="inlineStr">
        <is>
          <t>BENCHMARKED</t>
        </is>
      </c>
      <c r="D32" s="97" t="inlineStr">
        <is>
          <t>Built up per stage from list prices: Fargate, RDS then Aurora, ElastiCache, S3, MediaConvert, CloudWatch. Reserved capacity and Savings Plans (25-40%) are deliberately excluded and treated as upside.</t>
        </is>
      </c>
      <c r="E32" s="97" t="inlineStr">
        <is>
          <t>AWS published list pricing, 2026</t>
        </is>
      </c>
      <c r="F32" s="100" t="inlineStr">
        <is>
          <t>Medium</t>
        </is>
      </c>
      <c r="G32" s="97" t="inlineStr">
        <is>
          <t>Actual bills; commit to Savings Plans once usage is stable.</t>
        </is>
      </c>
    </row>
    <row r="33" ht="58" customHeight="1">
      <c r="A33" s="95" t="inlineStr">
        <is>
          <t>Media egress</t>
        </is>
      </c>
      <c r="B33" s="41">
        <f>Assumptions!$C$60</f>
        <v/>
      </c>
      <c r="C33" s="101" t="inlineStr">
        <is>
          <t>SOURCED</t>
        </is>
      </c>
      <c r="D33" s="97" t="inlineStr">
        <is>
          <t>EUR 0.008/GB behind a zero-egress object store versus EUR 0.075/GB at CloudFront list price. At Y10 volumes that single architectural choice is worth over EUR 1M a year, the largest cost decision in the plan that is settled by engineering rather than negotiation.</t>
        </is>
      </c>
      <c r="E33" s="97" t="inlineStr">
        <is>
          <t>Cloudflare R2 and Backblaze B2 pricing; AWS CloudFront list price</t>
        </is>
      </c>
      <c r="F33" s="98" t="inlineStr">
        <is>
          <t>High</t>
        </is>
      </c>
      <c r="G33" s="97" t="inlineStr">
        <is>
          <t>Nothing. Both are published.</t>
        </is>
      </c>
    </row>
    <row r="34" ht="58" customHeight="1">
      <c r="A34" s="95" t="inlineStr">
        <is>
          <t>Moderation cost</t>
        </is>
      </c>
      <c r="B34" s="41">
        <f>Assumptions!$C$62</f>
        <v/>
      </c>
      <c r="C34" s="102" t="inlineStr">
        <is>
          <t>ESTIMATE</t>
        </is>
      </c>
      <c r="D34" s="97" t="inlineStr">
        <is>
          <t>EUR 22 per 1,000 items reviewed, on a hybrid of automated classification and human review. Vendor pricing varies widely with SLA and content type.</t>
        </is>
      </c>
      <c r="E34" s="97" t="inlineStr">
        <is>
          <t>None cited</t>
        </is>
      </c>
      <c r="F34" s="103" t="inlineStr">
        <is>
          <t>Low</t>
        </is>
      </c>
      <c r="G34" s="97" t="inlineStr">
        <is>
          <t>Vendor quotes once P2 scope is fixed.</t>
        </is>
      </c>
    </row>
    <row r="35">
      <c r="A35" s="19" t="inlineStr">
        <is>
          <t xml:space="preserve">: TAX, CAPITAL &amp; VALUATION: </t>
        </is>
      </c>
      <c r="B35" s="20" t="n"/>
      <c r="C35" s="20" t="n"/>
      <c r="D35" s="20" t="n"/>
      <c r="E35" s="20" t="n"/>
      <c r="F35" s="20" t="n"/>
      <c r="G35" s="20" t="n"/>
    </row>
    <row r="36" ht="58" customHeight="1">
      <c r="A36" s="95" t="inlineStr">
        <is>
          <t>Corporate tax rates</t>
        </is>
      </c>
      <c r="B36" s="41">
        <f>Assumptions!$C$77</f>
        <v/>
      </c>
      <c r="C36" s="101" t="inlineStr">
        <is>
          <t>SOURCED</t>
        </is>
      </c>
      <c r="D36" s="97" t="inlineStr">
        <is>
          <t>15% for the first four profitable years under the Spanish Startup Law, then the 25% standard rate. Modelled with loss carryforward against the Y1-Y4 losses.</t>
        </is>
      </c>
      <c r="E36" s="97" t="inlineStr">
        <is>
          <t>Ley de Startups (Spain); Impuesto sobre Sociedades</t>
        </is>
      </c>
      <c r="F36" s="98" t="inlineStr">
        <is>
          <t>High</t>
        </is>
      </c>
      <c r="G36" s="97" t="inlineStr">
        <is>
          <t>Confirm eligibility with a Spanish tax adviser before filing.</t>
        </is>
      </c>
    </row>
    <row r="37" ht="58" customHeight="1">
      <c r="A37" s="95" t="inlineStr">
        <is>
          <t>Risk-free rate</t>
        </is>
      </c>
      <c r="B37" s="41">
        <f>Assumptions!$C$94</f>
        <v/>
      </c>
      <c r="C37" s="101" t="inlineStr">
        <is>
          <t>SOURCED</t>
        </is>
      </c>
      <c r="D37" s="97" t="inlineStr">
        <is>
          <t>Spanish 10-year sovereign yield, ~3.2% in mid-2026. Used as the floor for the founder opportunity-cost calculation rather than as the discount rate.</t>
        </is>
      </c>
      <c r="E37" s="97" t="inlineStr">
        <is>
          <t>Spanish 10Y government bond yield</t>
        </is>
      </c>
      <c r="F37" s="98" t="inlineStr">
        <is>
          <t>High</t>
        </is>
      </c>
      <c r="G37" s="97" t="inlineStr">
        <is>
          <t>Refresh at the date of any raise.</t>
        </is>
      </c>
    </row>
    <row r="38" ht="58" customHeight="1">
      <c r="A38" s="95" t="inlineStr">
        <is>
          <t>WACC / discount rate</t>
        </is>
      </c>
      <c r="B38" s="41">
        <f>Assumptions!$C$91</f>
        <v/>
      </c>
      <c r="C38" s="96" t="inlineStr">
        <is>
          <t>BENCHMARKED</t>
        </is>
      </c>
      <c r="D38" s="97" t="inlineStr">
        <is>
          <t>25%, against a published mature-company anchor of 6.01%. Damodaran's European cost of capital dataset puts Software (Internet) at 6.01% in euros across 23 listed firms, and the European market ex-financials at 6.59%. Those are costs of capital for mature listed companies; this is a pre-revenue venture, and the 19-point gap is the stage premium. It is stated rather than buried because it is the largest single judgement in the valuation. Damodaran publishes no dataset for venture-stage rates, so the premium itself is convention (20-35% is the usual range) and not a sourced figure. The sensitivity grid runs 18-30% because this is arguable rather than knowable.</t>
        </is>
      </c>
      <c r="E38" s="97" t="inlineStr">
        <is>
          <t>Aswath Damodaran, NYU Stern, Cost of Capital by Industry (Europe), updated 5 January 2026</t>
        </is>
      </c>
      <c r="F38" s="100" t="inlineStr">
        <is>
          <t>Medium</t>
        </is>
      </c>
      <c r="G38" s="97" t="inlineStr">
        <is>
          <t>An actual term sheet prices this for you.</t>
        </is>
      </c>
    </row>
    <row r="39" ht="58" customHeight="1">
      <c r="A39" s="95" t="inlineStr">
        <is>
          <t>Exit revenue multiple</t>
        </is>
      </c>
      <c r="B39" s="41">
        <f>Assumptions!$C$93</f>
        <v/>
      </c>
      <c r="C39" s="96" t="inlineStr">
        <is>
          <t>BENCHMARKED</t>
        </is>
      </c>
      <c r="D39" s="97" t="inlineStr">
        <is>
          <t>6.5x blended. Marketplace comparables trade around 4x revenue and high-growth SaaS around 9x; our Y10 mix is roughly 55% marketplace take and 12% SaaS.</t>
        </is>
      </c>
      <c r="E39" s="97" t="inlineStr">
        <is>
          <t>Public marketplace and SaaS trading multiples</t>
        </is>
      </c>
      <c r="F39" s="100" t="inlineStr">
        <is>
          <t>Medium</t>
        </is>
      </c>
      <c r="G39" s="97" t="inlineStr">
        <is>
          <t>Comparable private transactions nearer an exit.</t>
        </is>
      </c>
    </row>
    <row r="40" ht="58" customHeight="1">
      <c r="A40" s="95" t="inlineStr">
        <is>
          <t>Terminal growth</t>
        </is>
      </c>
      <c r="B40" s="41">
        <f>Assumptions!$C$92</f>
        <v/>
      </c>
      <c r="C40" s="96" t="inlineStr">
        <is>
          <t>BENCHMARKED</t>
        </is>
      </c>
      <c r="D40" s="97" t="inlineStr">
        <is>
          <t>3%, approximating long-run nominal GDP. Ten explicit forecast years were chosen partly so this assumption carries less of the valuation than it would at Y7.</t>
        </is>
      </c>
      <c r="E40" s="97" t="inlineStr">
        <is>
          <t>Standard DCF convention</t>
        </is>
      </c>
      <c r="F40" s="100" t="inlineStr">
        <is>
          <t>Medium</t>
        </is>
      </c>
      <c r="G40" s="97" t="inlineStr">
        <is>
          <t>Nothing: it is a convention, and the grid shows its effect.</t>
        </is>
      </c>
    </row>
    <row r="41">
      <c r="A41" s="19" t="inlineStr">
        <is>
          <t xml:space="preserve">: COMPLIANCE: </t>
        </is>
      </c>
      <c r="B41" s="20" t="n"/>
      <c r="C41" s="20" t="n"/>
      <c r="D41" s="20" t="n"/>
      <c r="E41" s="20" t="n"/>
      <c r="F41" s="20" t="n"/>
      <c r="G41" s="20" t="n"/>
    </row>
    <row r="42" ht="58" customHeight="1">
      <c r="A42" s="95" t="inlineStr">
        <is>
          <t>Payout age floor</t>
        </is>
      </c>
      <c r="B42" s="99" t="inlineStr">
        <is>
          <t>see model</t>
        </is>
      </c>
      <c r="C42" s="101" t="inlineStr">
        <is>
          <t>SOURCED</t>
        </is>
      </c>
      <c r="D42" s="97" t="inlineStr">
        <is>
          <t>Stripe Express and Custom Connect require 18. Standard Connect allows 13+, but a legal guardian must own the account and hold the bank account the money lands in.</t>
        </is>
      </c>
      <c r="E42" s="97" t="inlineStr">
        <is>
          <t>Stripe Connect documentation</t>
        </is>
      </c>
      <c r="F42" s="98" t="inlineStr">
        <is>
          <t>High</t>
        </is>
      </c>
      <c r="G42" s="97" t="inlineStr">
        <is>
          <t>Nothing: it is a hard platform rule.</t>
        </is>
      </c>
    </row>
    <row r="43" ht="58" customHeight="1">
      <c r="A43" s="95" t="inlineStr">
        <is>
          <t>Digital consent age, Spain</t>
        </is>
      </c>
      <c r="B43" s="99" t="inlineStr">
        <is>
          <t>see model</t>
        </is>
      </c>
      <c r="C43" s="101" t="inlineStr">
        <is>
          <t>SOURCED</t>
        </is>
      </c>
      <c r="D43" s="97" t="inlineStr">
        <is>
          <t>14 today under LOPDGDD Art. 7. A draft Organic Law on the Protection of Minors in Digital Environments would raise it to 16 and make age verification mandatory, which is why 16 is the forward-compatible floor for an account.</t>
        </is>
      </c>
      <c r="E43" s="97" t="inlineStr">
        <is>
          <t>LOPDGDD Art. 7; draft Organic Law, Council of Ministers, March 2025</t>
        </is>
      </c>
      <c r="F43" s="98" t="inlineStr">
        <is>
          <t>High</t>
        </is>
      </c>
      <c r="G43" s="97" t="inlineStr">
        <is>
          <t>Track the bill through Parliament.</t>
        </is>
      </c>
    </row>
    <row r="45">
      <c r="A45" s="105" t="inlineStr">
        <is>
          <t>THE THREE ASSUMPTIONS MOST LIKELY TO BE WRONG</t>
        </is>
      </c>
    </row>
    <row r="46" ht="30" customHeight="1">
      <c r="A46" s="106" t="inlineStr">
        <is>
          <t>1. Fan churn. We assume 6-13%/month; Patreon reports 10-15%. If Patreon is right, Y10 revenue falls from about EUR 58M to EUR 51M and the capital requirement roughly doubles.</t>
        </is>
      </c>
    </row>
    <row r="47" ht="30" customHeight="1">
      <c r="A47" s="106" t="inlineStr">
        <is>
          <t>2. Athlete count. The trajectory is a target, not a forecast, and everything scales off it.</t>
        </is>
      </c>
    </row>
    <row r="48" ht="30" customHeight="1">
      <c r="A48" s="106" t="inlineStr">
        <is>
          <t>3. Share of athletes who monetise. No published comparable exists at all.</t>
        </is>
      </c>
    </row>
    <row r="49" ht="30" customHeight="1">
      <c r="A49" s="107" t="inlineStr"/>
    </row>
    <row r="50" ht="30" customHeight="1">
      <c r="A50" s="107" t="inlineStr">
        <is>
          <t>All three are answered by the same thing: three months of real cohort data from P1.</t>
        </is>
      </c>
    </row>
  </sheetData>
  <mergeCells count="5">
    <mergeCell ref="A50:G50"/>
    <mergeCell ref="A48:G48"/>
    <mergeCell ref="A49:G49"/>
    <mergeCell ref="A47:G47"/>
    <mergeCell ref="A46:G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2026-09-30T13:25:40Z</dcterms:created>
  <dcterms:modified xsi:type="dcterms:W3CDTF">2026-09-30T13:25:40Z</dcterms:modified>
</cp:coreProperties>
</file>