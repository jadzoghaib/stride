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variety.com/2025/digital/news/onlyfans-fiscal-2024-revenue-earnings-1236495750/" TargetMode="External" Id="rId1" /><Relationship Type="http://schemas.openxmlformats.org/officeDocument/2006/relationships/hyperlink" Target="https://backlinko.com/patreon-users" TargetMode="External" Id="rId2" /><Relationship Type="http://schemas.openxmlformats.org/officeDocument/2006/relationships/hyperlink" Target="https://sacra.com/c/passes/" TargetMode="External" Id="rId3" /><Relationship Type="http://schemas.openxmlformats.org/officeDocument/2006/relationships/hyperlink" Target="https://www.mexc.com/news/1014749" TargetMode="External" Id="rId4" /><Relationship Type="http://schemas.openxmlformats.org/officeDocument/2006/relationships/hyperlink" Target="https://arunatalent.com/blog/onlyfans-agency-commission-rates/" TargetMode="External" Id="rId5" /><Relationship Type="http://schemas.openxmlformats.org/officeDocument/2006/relationships/hyperlink" Target="https://www.oreateai.com/blog/understanding-sports-agents-commission-what-percentage-do-they-take/95c2df506ae450b9b71340b89cfcfece" TargetMode="External" Id="rId6" /><Relationship Type="http://schemas.openxmlformats.org/officeDocument/2006/relationships/hyperlink" Target="https://europa.eu/eurobarometer/surveys/detail/2668" TargetMode="External" Id="rId7" /><Relationship Type="http://schemas.openxmlformats.org/officeDocument/2006/relationships/hyperlink" Target="https://www.padelfip.com/2025/12/online-the-fip-world-padel-report-2025-a-comprehensive-analysis-of-a-sport-in-constant-growth/" TargetMode="External" Id="rId8" /><Relationship Type="http://schemas.openxmlformats.org/officeDocument/2006/relationships/hyperlink" Target="https://stripe.com/es/pricing" TargetMode="External" Id="rId9" /><Relationship Type="http://schemas.openxmlformats.org/officeDocument/2006/relationships/hyperlink" Target="https://www.publicisgroupe.com/en/news/press-releases/publicis-sports-and-travis-kelce-s-tekta-join-forces-to-reimagine-the-future-of-nil-marketing" TargetMode="External" Id="rId10" /><Relationship Type="http://schemas.openxmlformats.org/officeDocument/2006/relationships/hyperlink" Target="https://support.stripe.com/questions/age-requirement-to-create-a-stripe-account" TargetMode="External" Id="rId11" /></Relationships>
</file>

<file path=xl/worksheets/sheet1.xml><?xml version="1.0" encoding="utf-8"?>
<worksheet xmlns="http://schemas.openxmlformats.org/spreadsheetml/2006/main">
  <sheetPr>
    <outlinePr summaryBelow="1" summaryRight="1"/>
    <pageSetUpPr/>
  </sheetPr>
  <dimension ref="A1:A61"/>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From Assumptions rightwards every link is a formula you can follow with</t>
        </is>
      </c>
    </row>
    <row r="51">
      <c r="A51" t="inlineStr">
        <is>
          <t xml:space="preserve">  Trace Precedents. The first arrow is not: MarketModel shows the derivation</t>
        </is>
      </c>
    </row>
    <row r="52">
      <c r="A52" t="inlineStr">
        <is>
          <t xml:space="preserve">  from the published figures step by step, and Assumptions holds the number</t>
        </is>
      </c>
    </row>
    <row r="53">
      <c r="A53" t="inlineStr">
        <is>
          <t xml:space="preserve">  it arrives at, entered rather than linked. So the derivation is auditable</t>
        </is>
      </c>
    </row>
    <row r="54">
      <c r="A54" t="inlineStr">
        <is>
          <t xml:space="preserve">  but it is not enforced -- change a comparable and MarketModel moves while</t>
        </is>
      </c>
    </row>
    <row r="55">
      <c r="A55" t="inlineStr">
        <is>
          <t xml:space="preserve">  Assumptions does not. Read them side by side before trusting either.</t>
        </is>
      </c>
    </row>
    <row r="56">
      <c r="A56" t="inlineStr"/>
    </row>
    <row r="57">
      <c r="A57" s="2" t="inlineStr">
        <is>
          <t>MODEL SHAPE</t>
        </is>
      </c>
    </row>
    <row r="58">
      <c r="A58" t="inlineStr">
        <is>
          <t>This is a target-driven model: athlete counts are the plan, and marketing spend</t>
        </is>
      </c>
    </row>
    <row r="59">
      <c r="A59" t="inlineStr">
        <is>
          <t>is derived from them at segment CAC. It is not a driver-driven model in which</t>
        </is>
      </c>
    </row>
    <row r="60">
      <c r="A60" t="inlineStr">
        <is>
          <t>spend produces athletes. That is the normal shape for a plan, but it means the</t>
        </is>
      </c>
    </row>
    <row r="61">
      <c r="A61"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1800</v>
      </c>
      <c r="E5" s="15" t="n">
        <v>5500</v>
      </c>
      <c r="F5" s="15" t="n">
        <v>13000</v>
      </c>
      <c r="G5" s="15" t="n">
        <v>25000</v>
      </c>
      <c r="H5" s="15" t="n">
        <v>38000</v>
      </c>
      <c r="I5" s="15" t="n">
        <v>52000</v>
      </c>
      <c r="J5" s="15" t="n">
        <v>65000</v>
      </c>
      <c r="K5" s="15" t="n">
        <v>76000</v>
      </c>
      <c r="L5" s="15" t="n">
        <v>85000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110</v>
      </c>
      <c r="E34" s="15" t="n">
        <v>340</v>
      </c>
      <c r="F34" s="15" t="n">
        <v>800</v>
      </c>
      <c r="G34" s="15" t="n">
        <v>1500</v>
      </c>
      <c r="H34" s="15" t="n">
        <v>2400</v>
      </c>
      <c r="I34" s="15" t="n">
        <v>3500</v>
      </c>
      <c r="J34" s="15" t="n">
        <v>4600</v>
      </c>
      <c r="K34" s="15" t="n">
        <v>5600</v>
      </c>
      <c r="L34" s="15" t="n">
        <v>6400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PPV &amp; tips as multiple of subs</t>
        </is>
      </c>
      <c r="B42" s="14" t="inlineStr">
        <is>
          <t>x</t>
        </is>
      </c>
      <c r="C42" s="24" t="n">
        <v>0.35</v>
      </c>
      <c r="D42" s="25">
        <f>C42</f>
        <v/>
      </c>
      <c r="E42" s="25">
        <f>C42</f>
        <v/>
      </c>
      <c r="F42" s="25">
        <f>C42</f>
        <v/>
      </c>
      <c r="G42" s="25">
        <f>C42</f>
        <v/>
      </c>
      <c r="H42" s="25">
        <f>C42</f>
        <v/>
      </c>
      <c r="I42" s="25">
        <f>C42</f>
        <v/>
      </c>
      <c r="J42" s="25">
        <f>C42</f>
        <v/>
      </c>
      <c r="K42" s="25">
        <f>C42</f>
        <v/>
      </c>
      <c r="L42" s="25">
        <f>C42</f>
        <v/>
      </c>
    </row>
    <row r="43">
      <c r="A43" s="13" t="inlineStr">
        <is>
          <t>PSP percentage fee</t>
        </is>
      </c>
      <c r="B43" s="14" t="inlineStr">
        <is>
          <t>%</t>
        </is>
      </c>
      <c r="C43" s="26" t="n">
        <v>0.019</v>
      </c>
      <c r="D43" s="27">
        <f>C43</f>
        <v/>
      </c>
      <c r="E43" s="27">
        <f>C43</f>
        <v/>
      </c>
      <c r="F43" s="27">
        <f>C43</f>
        <v/>
      </c>
      <c r="G43" s="27">
        <f>C43</f>
        <v/>
      </c>
      <c r="H43" s="27">
        <f>C43</f>
        <v/>
      </c>
      <c r="I43" s="27">
        <f>C43</f>
        <v/>
      </c>
      <c r="J43" s="27">
        <f>C43</f>
        <v/>
      </c>
      <c r="K43" s="27">
        <f>C43</f>
        <v/>
      </c>
      <c r="L43" s="27">
        <f>C43</f>
        <v/>
      </c>
      <c r="N43" s="18" t="inlineStr">
        <is>
          <t>Stripe published pricing</t>
        </is>
      </c>
    </row>
    <row r="44">
      <c r="A44" s="13" t="inlineStr">
        <is>
          <t>PSP fixed fee per transaction</t>
        </is>
      </c>
      <c r="B44" s="14" t="inlineStr">
        <is>
          <t>EUR</t>
        </is>
      </c>
      <c r="C44" s="28" t="n">
        <v>0.25</v>
      </c>
      <c r="D44" s="29">
        <f>C44</f>
        <v/>
      </c>
      <c r="E44" s="29">
        <f>C44</f>
        <v/>
      </c>
      <c r="F44" s="29">
        <f>C44</f>
        <v/>
      </c>
      <c r="G44" s="29">
        <f>C44</f>
        <v/>
      </c>
      <c r="H44" s="29">
        <f>C44</f>
        <v/>
      </c>
      <c r="I44" s="29">
        <f>C44</f>
        <v/>
      </c>
      <c r="J44" s="29">
        <f>C44</f>
        <v/>
      </c>
      <c r="K44" s="29">
        <f>C44</f>
        <v/>
      </c>
      <c r="L44" s="29">
        <f>C44</f>
        <v/>
      </c>
      <c r="N44" s="18" t="inlineStr">
        <is>
          <t>Stripe. The single most damaging cost at small ticket sizes</t>
        </is>
      </c>
    </row>
    <row r="45">
      <c r="A45" s="13" t="inlineStr">
        <is>
          <t>Payout percentage fee</t>
        </is>
      </c>
      <c r="B45" s="14" t="inlineStr">
        <is>
          <t>%</t>
        </is>
      </c>
      <c r="C45" s="26" t="n">
        <v>0.0025</v>
      </c>
      <c r="D45" s="27">
        <f>C45</f>
        <v/>
      </c>
      <c r="E45" s="27">
        <f>C45</f>
        <v/>
      </c>
      <c r="F45" s="27">
        <f>C45</f>
        <v/>
      </c>
      <c r="G45" s="27">
        <f>C45</f>
        <v/>
      </c>
      <c r="H45" s="27">
        <f>C45</f>
        <v/>
      </c>
      <c r="I45" s="27">
        <f>C45</f>
        <v/>
      </c>
      <c r="J45" s="27">
        <f>C45</f>
        <v/>
      </c>
      <c r="K45" s="27">
        <f>C45</f>
        <v/>
      </c>
      <c r="L45" s="27">
        <f>C45</f>
        <v/>
      </c>
      <c r="N45" s="18" t="inlineStr">
        <is>
          <t>Stripe Connect</t>
        </is>
      </c>
    </row>
    <row r="46">
      <c r="A46" s="13" t="inlineStr">
        <is>
          <t>Payout fixed fee</t>
        </is>
      </c>
      <c r="B46" s="14" t="inlineStr">
        <is>
          <t>EUR</t>
        </is>
      </c>
      <c r="C46" s="28" t="n">
        <v>0.25</v>
      </c>
      <c r="D46" s="29">
        <f>C46</f>
        <v/>
      </c>
      <c r="E46" s="29">
        <f>C46</f>
        <v/>
      </c>
      <c r="F46" s="29">
        <f>C46</f>
        <v/>
      </c>
      <c r="G46" s="29">
        <f>C46</f>
        <v/>
      </c>
      <c r="H46" s="29">
        <f>C46</f>
        <v/>
      </c>
      <c r="I46" s="29">
        <f>C46</f>
        <v/>
      </c>
      <c r="J46" s="29">
        <f>C46</f>
        <v/>
      </c>
      <c r="K46" s="29">
        <f>C46</f>
        <v/>
      </c>
      <c r="L46" s="29">
        <f>C46</f>
        <v/>
      </c>
      <c r="N46" s="18" t="inlineStr">
        <is>
          <t>Stripe Connect</t>
        </is>
      </c>
    </row>
    <row r="47">
      <c r="A47" s="13" t="inlineStr">
        <is>
          <t>Average fan transaction</t>
        </is>
      </c>
      <c r="B47" s="14" t="inlineStr">
        <is>
          <t>EUR</t>
        </is>
      </c>
      <c r="C47" s="20" t="n">
        <v>9.199999999999999</v>
      </c>
      <c r="D47" s="29">
        <f>C47</f>
        <v/>
      </c>
      <c r="E47" s="29">
        <f>C47</f>
        <v/>
      </c>
      <c r="F47" s="29">
        <f>C47</f>
        <v/>
      </c>
      <c r="G47" s="29">
        <f>C47</f>
        <v/>
      </c>
      <c r="H47" s="29">
        <f>C47</f>
        <v/>
      </c>
      <c r="I47" s="29">
        <f>C47</f>
        <v/>
      </c>
      <c r="J47" s="29">
        <f>C47</f>
        <v/>
      </c>
      <c r="K47" s="29">
        <f>C47</f>
        <v/>
      </c>
      <c r="L47" s="29">
        <f>C47</f>
        <v/>
      </c>
    </row>
    <row r="48">
      <c r="A48" s="13" t="inlineStr">
        <is>
          <t>Average deal transaction</t>
        </is>
      </c>
      <c r="B48" s="14" t="inlineStr">
        <is>
          <t>EUR</t>
        </is>
      </c>
      <c r="C48" s="22" t="n">
        <v>1800</v>
      </c>
      <c r="D48" s="30">
        <f>C48</f>
        <v/>
      </c>
      <c r="E48" s="30">
        <f>C48</f>
        <v/>
      </c>
      <c r="F48" s="30">
        <f>C48</f>
        <v/>
      </c>
      <c r="G48" s="30">
        <f>C48</f>
        <v/>
      </c>
      <c r="H48" s="30">
        <f>C48</f>
        <v/>
      </c>
      <c r="I48" s="30">
        <f>C48</f>
        <v/>
      </c>
      <c r="J48" s="30">
        <f>C48</f>
        <v/>
      </c>
      <c r="K48" s="30">
        <f>C48</f>
        <v/>
      </c>
      <c r="L48" s="30">
        <f>C48</f>
        <v/>
      </c>
    </row>
    <row r="50">
      <c r="A50" s="11" t="inlineStr">
        <is>
          <t>INFRASTRUCTURE &amp; CONTENT COSTS</t>
        </is>
      </c>
      <c r="B50" s="12" t="n"/>
      <c r="C50" s="12" t="n"/>
      <c r="D50" s="12" t="n"/>
      <c r="E50" s="12" t="n"/>
      <c r="F50" s="12" t="n"/>
      <c r="G50" s="12" t="n"/>
      <c r="H50" s="12" t="n"/>
      <c r="I50" s="12" t="n"/>
      <c r="J50" s="12" t="n"/>
      <c r="K50" s="12" t="n"/>
      <c r="L50" s="12" t="n"/>
    </row>
    <row r="51">
      <c r="A51" s="13" t="inlineStr">
        <is>
          <t>AWS base cost per month</t>
        </is>
      </c>
      <c r="B51" s="14" t="inlineStr">
        <is>
          <t>EUR</t>
        </is>
      </c>
      <c r="C51" s="22" t="n">
        <v>180</v>
      </c>
      <c r="D51" s="22" t="n">
        <v>650</v>
      </c>
      <c r="E51" s="22" t="n">
        <v>2100</v>
      </c>
      <c r="F51" s="22" t="n">
        <v>5400</v>
      </c>
      <c r="G51" s="22" t="n">
        <v>11000</v>
      </c>
      <c r="H51" s="22" t="n">
        <v>17000</v>
      </c>
      <c r="I51" s="22" t="n">
        <v>24000</v>
      </c>
      <c r="J51" s="22" t="n">
        <v>30000</v>
      </c>
      <c r="K51" s="22" t="n">
        <v>35000</v>
      </c>
      <c r="L51" s="22" t="n">
        <v>39000</v>
      </c>
    </row>
    <row r="52">
      <c r="A52" s="13" t="inlineStr">
        <is>
          <t>Media GB per paying fan per month</t>
        </is>
      </c>
      <c r="B52" s="14" t="inlineStr">
        <is>
          <t>GB</t>
        </is>
      </c>
      <c r="C52" s="21" t="n">
        <v>1.8</v>
      </c>
      <c r="D52" s="31">
        <f>C52</f>
        <v/>
      </c>
      <c r="E52" s="31">
        <f>C52</f>
        <v/>
      </c>
      <c r="F52" s="31">
        <f>C52</f>
        <v/>
      </c>
      <c r="G52" s="31">
        <f>C52</f>
        <v/>
      </c>
      <c r="H52" s="31">
        <f>C52</f>
        <v/>
      </c>
      <c r="I52" s="31">
        <f>C52</f>
        <v/>
      </c>
      <c r="J52" s="31">
        <f>C52</f>
        <v/>
      </c>
      <c r="K52" s="31">
        <f>C52</f>
        <v/>
      </c>
      <c r="L52" s="31">
        <f>C52</f>
        <v/>
      </c>
    </row>
    <row r="53">
      <c r="A53" s="13" t="inlineStr">
        <is>
          <t>Egress cost per GB (zero-egress CDN)</t>
        </is>
      </c>
      <c r="B53" s="14" t="inlineStr">
        <is>
          <t>EUR</t>
        </is>
      </c>
      <c r="C53" s="32" t="n">
        <v>0.008</v>
      </c>
      <c r="D53" s="33">
        <f>C53</f>
        <v/>
      </c>
      <c r="E53" s="33">
        <f>C53</f>
        <v/>
      </c>
      <c r="F53" s="33">
        <f>C53</f>
        <v/>
      </c>
      <c r="G53" s="33">
        <f>C53</f>
        <v/>
      </c>
      <c r="H53" s="33">
        <f>C53</f>
        <v/>
      </c>
      <c r="I53" s="33">
        <f>C53</f>
        <v/>
      </c>
      <c r="J53" s="33">
        <f>C53</f>
        <v/>
      </c>
      <c r="K53" s="33">
        <f>C53</f>
        <v/>
      </c>
      <c r="L53" s="33">
        <f>C53</f>
        <v/>
      </c>
      <c r="N53" s="18" t="inlineStr">
        <is>
          <t>Cloudflare R2 / Backblaze B2 list</t>
        </is>
      </c>
    </row>
    <row r="54">
      <c r="A54" s="13" t="inlineStr">
        <is>
          <t>Egress cost per GB (CloudFront list)</t>
        </is>
      </c>
      <c r="B54" s="14" t="inlineStr">
        <is>
          <t>EUR</t>
        </is>
      </c>
      <c r="C54" s="32" t="n">
        <v>0.075</v>
      </c>
      <c r="D54" s="33">
        <f>C54</f>
        <v/>
      </c>
      <c r="E54" s="33">
        <f>C54</f>
        <v/>
      </c>
      <c r="F54" s="33">
        <f>C54</f>
        <v/>
      </c>
      <c r="G54" s="33">
        <f>C54</f>
        <v/>
      </c>
      <c r="H54" s="33">
        <f>C54</f>
        <v/>
      </c>
      <c r="I54" s="33">
        <f>C54</f>
        <v/>
      </c>
      <c r="J54" s="33">
        <f>C54</f>
        <v/>
      </c>
      <c r="K54" s="33">
        <f>C54</f>
        <v/>
      </c>
      <c r="L54" s="33">
        <f>C54</f>
        <v/>
      </c>
      <c r="N54" s="18" t="inlineStr">
        <is>
          <t>AWS CloudFront list price — the EUR 1.1M/yr trap</t>
        </is>
      </c>
    </row>
    <row r="55">
      <c r="A55" s="13" t="inlineStr">
        <is>
          <t>Moderation cost per 1,000 items</t>
        </is>
      </c>
      <c r="B55" s="14" t="inlineStr">
        <is>
          <t>EUR</t>
        </is>
      </c>
      <c r="C55" s="20" t="n">
        <v>22</v>
      </c>
      <c r="D55" s="29">
        <f>C55</f>
        <v/>
      </c>
      <c r="E55" s="29">
        <f>C55</f>
        <v/>
      </c>
      <c r="F55" s="29">
        <f>C55</f>
        <v/>
      </c>
      <c r="G55" s="29">
        <f>C55</f>
        <v/>
      </c>
      <c r="H55" s="29">
        <f>C55</f>
        <v/>
      </c>
      <c r="I55" s="29">
        <f>C55</f>
        <v/>
      </c>
      <c r="J55" s="29">
        <f>C55</f>
        <v/>
      </c>
      <c r="K55" s="29">
        <f>C55</f>
        <v/>
      </c>
      <c r="L55" s="29">
        <f>C55</f>
        <v/>
      </c>
    </row>
    <row r="56">
      <c r="A56" s="13" t="inlineStr">
        <is>
          <t>Items per athlete per month</t>
        </is>
      </c>
      <c r="B56" s="14" t="inlineStr">
        <is>
          <t>count</t>
        </is>
      </c>
      <c r="C56" s="21" t="n">
        <v>12</v>
      </c>
      <c r="D56" s="31">
        <f>C56</f>
        <v/>
      </c>
      <c r="E56" s="31">
        <f>C56</f>
        <v/>
      </c>
      <c r="F56" s="31">
        <f>C56</f>
        <v/>
      </c>
      <c r="G56" s="31">
        <f>C56</f>
        <v/>
      </c>
      <c r="H56" s="31">
        <f>C56</f>
        <v/>
      </c>
      <c r="I56" s="31">
        <f>C56</f>
        <v/>
      </c>
      <c r="J56" s="31">
        <f>C56</f>
        <v/>
      </c>
      <c r="K56" s="31">
        <f>C56</f>
        <v/>
      </c>
      <c r="L56" s="31">
        <f>C56</f>
        <v/>
      </c>
    </row>
    <row r="58">
      <c r="A58" s="11" t="inlineStr">
        <is>
          <t>PEOPLE &amp; OVERHEAD</t>
        </is>
      </c>
      <c r="B58" s="12" t="n"/>
      <c r="C58" s="12" t="n"/>
      <c r="D58" s="12" t="n"/>
      <c r="E58" s="12" t="n"/>
      <c r="F58" s="12" t="n"/>
      <c r="G58" s="12" t="n"/>
      <c r="H58" s="12" t="n"/>
      <c r="I58" s="12" t="n"/>
      <c r="J58" s="12" t="n"/>
      <c r="K58" s="12" t="n"/>
      <c r="L58" s="12" t="n"/>
    </row>
    <row r="59">
      <c r="A59" s="13" t="inlineStr">
        <is>
          <t>Headcount</t>
        </is>
      </c>
      <c r="B59" s="14" t="inlineStr">
        <is>
          <t>FTE</t>
        </is>
      </c>
      <c r="C59" s="21" t="n">
        <v>1.5</v>
      </c>
      <c r="D59" s="21" t="n">
        <v>3</v>
      </c>
      <c r="E59" s="21" t="n">
        <v>7</v>
      </c>
      <c r="F59" s="21" t="n">
        <v>14</v>
      </c>
      <c r="G59" s="21" t="n">
        <v>24</v>
      </c>
      <c r="H59" s="21" t="n">
        <v>36</v>
      </c>
      <c r="I59" s="21" t="n">
        <v>50</v>
      </c>
      <c r="J59" s="21" t="n">
        <v>62</v>
      </c>
      <c r="K59" s="21" t="n">
        <v>72</v>
      </c>
      <c r="L59" s="21" t="n">
        <v>80</v>
      </c>
    </row>
    <row r="60">
      <c r="A60" s="13" t="inlineStr">
        <is>
          <t>Loaded salary (incl. ~31% employer SS)</t>
        </is>
      </c>
      <c r="B60" s="14" t="inlineStr">
        <is>
          <t>EUR</t>
        </is>
      </c>
      <c r="C60" s="22" t="n">
        <v>38000</v>
      </c>
      <c r="D60" s="22" t="n">
        <v>52000</v>
      </c>
      <c r="E60" s="22" t="n">
        <v>60000</v>
      </c>
      <c r="F60" s="22" t="n">
        <v>64000</v>
      </c>
      <c r="G60" s="22" t="n">
        <v>66000</v>
      </c>
      <c r="H60" s="22" t="n">
        <v>68000</v>
      </c>
      <c r="I60" s="22" t="n">
        <v>70000</v>
      </c>
      <c r="J60" s="22" t="n">
        <v>72000</v>
      </c>
      <c r="K60" s="22" t="n">
        <v>74000</v>
      </c>
      <c r="L60" s="22" t="n">
        <v>76000</v>
      </c>
    </row>
    <row r="61">
      <c r="A61" s="13" t="inlineStr">
        <is>
          <t>Legal &amp; compliance</t>
        </is>
      </c>
      <c r="B61" s="14" t="inlineStr">
        <is>
          <t>EUR</t>
        </is>
      </c>
      <c r="C61" s="22" t="n">
        <v>18000</v>
      </c>
      <c r="D61" s="22" t="n">
        <v>45000</v>
      </c>
      <c r="E61" s="22" t="n">
        <v>90000</v>
      </c>
      <c r="F61" s="22" t="n">
        <v>150000</v>
      </c>
      <c r="G61" s="22" t="n">
        <v>200000</v>
      </c>
      <c r="H61" s="22" t="n">
        <v>235000</v>
      </c>
      <c r="I61" s="22" t="n">
        <v>270000</v>
      </c>
      <c r="J61" s="22" t="n">
        <v>300000</v>
      </c>
      <c r="K61" s="22" t="n">
        <v>325000</v>
      </c>
      <c r="L61" s="22" t="n">
        <v>345000</v>
      </c>
    </row>
    <row r="62">
      <c r="A62" s="13" t="inlineStr">
        <is>
          <t>Other opex as % of revenue</t>
        </is>
      </c>
      <c r="B62" s="14" t="inlineStr">
        <is>
          <t>%</t>
        </is>
      </c>
      <c r="C62" s="16" t="n">
        <v>0.08</v>
      </c>
      <c r="D62" s="23">
        <f>C62</f>
        <v/>
      </c>
      <c r="E62" s="23">
        <f>C62</f>
        <v/>
      </c>
      <c r="F62" s="23">
        <f>C62</f>
        <v/>
      </c>
      <c r="G62" s="23">
        <f>C62</f>
        <v/>
      </c>
      <c r="H62" s="23">
        <f>C62</f>
        <v/>
      </c>
      <c r="I62" s="23">
        <f>C62</f>
        <v/>
      </c>
      <c r="J62" s="23">
        <f>C62</f>
        <v/>
      </c>
      <c r="K62" s="23">
        <f>C62</f>
        <v/>
      </c>
      <c r="L62" s="23">
        <f>C62</f>
        <v/>
      </c>
    </row>
    <row r="64">
      <c r="A64" s="11" t="inlineStr">
        <is>
          <t>WORKING CAPITAL, CAPEX &amp; TAX</t>
        </is>
      </c>
      <c r="B64" s="12" t="n"/>
      <c r="C64" s="12" t="n"/>
      <c r="D64" s="12" t="n"/>
      <c r="E64" s="12" t="n"/>
      <c r="F64" s="12" t="n"/>
      <c r="G64" s="12" t="n"/>
      <c r="H64" s="12" t="n"/>
      <c r="I64" s="12" t="n"/>
      <c r="J64" s="12" t="n"/>
      <c r="K64" s="12" t="n"/>
      <c r="L64" s="12" t="n"/>
    </row>
    <row r="65">
      <c r="A65" s="13" t="inlineStr">
        <is>
          <t>Athlete payout float</t>
        </is>
      </c>
      <c r="B65" s="14" t="inlineStr">
        <is>
          <t>days</t>
        </is>
      </c>
      <c r="C65" s="15" t="n">
        <v>15</v>
      </c>
      <c r="D65" s="17">
        <f>C65</f>
        <v/>
      </c>
      <c r="E65" s="17">
        <f>C65</f>
        <v/>
      </c>
      <c r="F65" s="17">
        <f>C65</f>
        <v/>
      </c>
      <c r="G65" s="17">
        <f>C65</f>
        <v/>
      </c>
      <c r="H65" s="17">
        <f>C65</f>
        <v/>
      </c>
      <c r="I65" s="17">
        <f>C65</f>
        <v/>
      </c>
      <c r="J65" s="17">
        <f>C65</f>
        <v/>
      </c>
      <c r="K65" s="17">
        <f>C65</f>
        <v/>
      </c>
      <c r="L65" s="17">
        <f>C65</f>
        <v/>
      </c>
      <c r="N65" s="18" t="inlineStr">
        <is>
          <t>We hold fan money before paying athletes — a cash benefit</t>
        </is>
      </c>
    </row>
    <row r="66">
      <c r="A66" s="13" t="inlineStr">
        <is>
          <t>Sponsor receivable days</t>
        </is>
      </c>
      <c r="B66" s="14" t="inlineStr">
        <is>
          <t>days</t>
        </is>
      </c>
      <c r="C66" s="15" t="n">
        <v>45</v>
      </c>
      <c r="D66" s="17">
        <f>C66</f>
        <v/>
      </c>
      <c r="E66" s="17">
        <f>C66</f>
        <v/>
      </c>
      <c r="F66" s="17">
        <f>C66</f>
        <v/>
      </c>
      <c r="G66" s="17">
        <f>C66</f>
        <v/>
      </c>
      <c r="H66" s="17">
        <f>C66</f>
        <v/>
      </c>
      <c r="I66" s="17">
        <f>C66</f>
        <v/>
      </c>
      <c r="J66" s="17">
        <f>C66</f>
        <v/>
      </c>
      <c r="K66" s="17">
        <f>C66</f>
        <v/>
      </c>
      <c r="L66" s="17">
        <f>C66</f>
        <v/>
      </c>
    </row>
    <row r="67">
      <c r="A67" s="13" t="inlineStr">
        <is>
          <t>Trade payable days</t>
        </is>
      </c>
      <c r="B67" s="14" t="inlineStr">
        <is>
          <t>days</t>
        </is>
      </c>
      <c r="C67" s="15" t="n">
        <v>30</v>
      </c>
      <c r="D67" s="17">
        <f>C67</f>
        <v/>
      </c>
      <c r="E67" s="17">
        <f>C67</f>
        <v/>
      </c>
      <c r="F67" s="17">
        <f>C67</f>
        <v/>
      </c>
      <c r="G67" s="17">
        <f>C67</f>
        <v/>
      </c>
      <c r="H67" s="17">
        <f>C67</f>
        <v/>
      </c>
      <c r="I67" s="17">
        <f>C67</f>
        <v/>
      </c>
      <c r="J67" s="17">
        <f>C67</f>
        <v/>
      </c>
      <c r="K67" s="17">
        <f>C67</f>
        <v/>
      </c>
      <c r="L67" s="17">
        <f>C67</f>
        <v/>
      </c>
    </row>
    <row r="68">
      <c r="A68" s="13" t="inlineStr">
        <is>
          <t>Capitalised development</t>
        </is>
      </c>
      <c r="B68" s="14" t="inlineStr">
        <is>
          <t>% of people cost</t>
        </is>
      </c>
      <c r="C68" s="16" t="n">
        <v>0.3</v>
      </c>
      <c r="D68" s="23">
        <f>C68</f>
        <v/>
      </c>
      <c r="E68" s="23">
        <f>C68</f>
        <v/>
      </c>
      <c r="F68" s="23">
        <f>C68</f>
        <v/>
      </c>
      <c r="G68" s="23">
        <f>C68</f>
        <v/>
      </c>
      <c r="H68" s="23">
        <f>C68</f>
        <v/>
      </c>
      <c r="I68" s="23">
        <f>C68</f>
        <v/>
      </c>
      <c r="J68" s="23">
        <f>C68</f>
        <v/>
      </c>
      <c r="K68" s="23">
        <f>C68</f>
        <v/>
      </c>
      <c r="L68" s="23">
        <f>C68</f>
        <v/>
      </c>
    </row>
    <row r="69">
      <c r="A69" s="13" t="inlineStr">
        <is>
          <t>Amortisation period</t>
        </is>
      </c>
      <c r="B69" s="14" t="inlineStr">
        <is>
          <t>years</t>
        </is>
      </c>
      <c r="C69" s="34" t="n">
        <v>3</v>
      </c>
      <c r="D69" s="35">
        <f>C69</f>
        <v/>
      </c>
      <c r="E69" s="35">
        <f>C69</f>
        <v/>
      </c>
      <c r="F69" s="35">
        <f>C69</f>
        <v/>
      </c>
      <c r="G69" s="35">
        <f>C69</f>
        <v/>
      </c>
      <c r="H69" s="35">
        <f>C69</f>
        <v/>
      </c>
      <c r="I69" s="35">
        <f>C69</f>
        <v/>
      </c>
      <c r="J69" s="35">
        <f>C69</f>
        <v/>
      </c>
      <c r="K69" s="35">
        <f>C69</f>
        <v/>
      </c>
      <c r="L69" s="35">
        <f>C69</f>
        <v/>
      </c>
    </row>
    <row r="70">
      <c r="A70" s="13" t="inlineStr">
        <is>
          <t>Corporate tax — startup rate</t>
        </is>
      </c>
      <c r="B70" s="14" t="inlineStr">
        <is>
          <t>%</t>
        </is>
      </c>
      <c r="C70" s="36" t="n">
        <v>0.15</v>
      </c>
      <c r="D70" s="23">
        <f>C70</f>
        <v/>
      </c>
      <c r="E70" s="23">
        <f>C70</f>
        <v/>
      </c>
      <c r="F70" s="23">
        <f>C70</f>
        <v/>
      </c>
      <c r="G70" s="23">
        <f>C70</f>
        <v/>
      </c>
      <c r="H70" s="23">
        <f>C70</f>
        <v/>
      </c>
      <c r="I70" s="23">
        <f>C70</f>
        <v/>
      </c>
      <c r="J70" s="23">
        <f>C70</f>
        <v/>
      </c>
      <c r="K70" s="23">
        <f>C70</f>
        <v/>
      </c>
      <c r="L70" s="23">
        <f>C70</f>
        <v/>
      </c>
      <c r="N70" s="18" t="inlineStr">
        <is>
          <t>Spanish Startup Law, first 4 profitable years</t>
        </is>
      </c>
    </row>
    <row r="71">
      <c r="A71" s="13" t="inlineStr">
        <is>
          <t>Corporate tax — standard rate</t>
        </is>
      </c>
      <c r="B71" s="14" t="inlineStr">
        <is>
          <t>%</t>
        </is>
      </c>
      <c r="C71" s="36" t="n">
        <v>0.25</v>
      </c>
      <c r="D71" s="23">
        <f>C71</f>
        <v/>
      </c>
      <c r="E71" s="23">
        <f>C71</f>
        <v/>
      </c>
      <c r="F71" s="23">
        <f>C71</f>
        <v/>
      </c>
      <c r="G71" s="23">
        <f>C71</f>
        <v/>
      </c>
      <c r="H71" s="23">
        <f>C71</f>
        <v/>
      </c>
      <c r="I71" s="23">
        <f>C71</f>
        <v/>
      </c>
      <c r="J71" s="23">
        <f>C71</f>
        <v/>
      </c>
      <c r="K71" s="23">
        <f>C71</f>
        <v/>
      </c>
      <c r="L71" s="23">
        <f>C71</f>
        <v/>
      </c>
      <c r="N71" s="18" t="inlineStr">
        <is>
          <t>Spanish corporate income tax</t>
        </is>
      </c>
    </row>
    <row r="72">
      <c r="A72" s="13" t="inlineStr">
        <is>
          <t>Years at startup rate (from first profit)</t>
        </is>
      </c>
      <c r="B72" s="14" t="inlineStr">
        <is>
          <t>years</t>
        </is>
      </c>
      <c r="C72" s="37" t="n">
        <v>4</v>
      </c>
      <c r="D72" s="35">
        <f>C72</f>
        <v/>
      </c>
      <c r="E72" s="35">
        <f>C72</f>
        <v/>
      </c>
      <c r="F72" s="35">
        <f>C72</f>
        <v/>
      </c>
      <c r="G72" s="35">
        <f>C72</f>
        <v/>
      </c>
      <c r="H72" s="35">
        <f>C72</f>
        <v/>
      </c>
      <c r="I72" s="35">
        <f>C72</f>
        <v/>
      </c>
      <c r="J72" s="35">
        <f>C72</f>
        <v/>
      </c>
      <c r="K72" s="35">
        <f>C72</f>
        <v/>
      </c>
      <c r="L72" s="35">
        <f>C72</f>
        <v/>
      </c>
    </row>
    <row r="74">
      <c r="A74" s="11" t="inlineStr">
        <is>
          <t>ADMISSION — the gate between an applicant and an athlete</t>
        </is>
      </c>
      <c r="B74" s="12" t="n"/>
      <c r="C74" s="12" t="n"/>
      <c r="D74" s="12" t="n"/>
      <c r="E74" s="12" t="n"/>
      <c r="F74" s="12" t="n"/>
      <c r="G74" s="12" t="n"/>
      <c r="H74" s="12" t="n"/>
      <c r="I74" s="12" t="n"/>
      <c r="J74" s="12" t="n"/>
      <c r="K74" s="12" t="n"/>
      <c r="L74" s="12" t="n"/>
    </row>
    <row r="75">
      <c r="A75" s="13" t="inlineStr">
        <is>
          <t>Admission rate — direct applicants</t>
        </is>
      </c>
      <c r="B75" s="14" t="inlineStr">
        <is>
          <t>% admitted</t>
        </is>
      </c>
      <c r="C75" s="16" t="n">
        <v>0.2</v>
      </c>
      <c r="D75" s="23">
        <f>C75</f>
        <v/>
      </c>
      <c r="E75" s="23">
        <f>C75</f>
        <v/>
      </c>
      <c r="F75" s="23">
        <f>C75</f>
        <v/>
      </c>
      <c r="G75" s="23">
        <f>C75</f>
        <v/>
      </c>
      <c r="H75" s="23">
        <f>C75</f>
        <v/>
      </c>
      <c r="I75" s="23">
        <f>C75</f>
        <v/>
      </c>
      <c r="J75" s="23">
        <f>C75</f>
        <v/>
      </c>
      <c r="K75" s="23">
        <f>C75</f>
        <v/>
      </c>
      <c r="L75" s="23">
        <f>C75</f>
        <v/>
      </c>
      <c r="N75" s="19" t="inlineStr">
        <is>
          <t>ops-load output of scripts/admission_stress.py</t>
        </is>
      </c>
    </row>
    <row r="76">
      <c r="A76" s="13" t="inlineStr">
        <is>
          <t>Review rate — direct applicants</t>
        </is>
      </c>
      <c r="B76" s="14" t="inlineStr">
        <is>
          <t>% needing a human</t>
        </is>
      </c>
      <c r="C76" s="16" t="n">
        <v>0.25</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Admission rate — club-nominated</t>
        </is>
      </c>
      <c r="B77" s="14" t="inlineStr">
        <is>
          <t>% admitted</t>
        </is>
      </c>
      <c r="C77" s="16" t="n">
        <v>0.45</v>
      </c>
      <c r="D77" s="23">
        <f>C77</f>
        <v/>
      </c>
      <c r="E77" s="23">
        <f>C77</f>
        <v/>
      </c>
      <c r="F77" s="23">
        <f>C77</f>
        <v/>
      </c>
      <c r="G77" s="23">
        <f>C77</f>
        <v/>
      </c>
      <c r="H77" s="23">
        <f>C77</f>
        <v/>
      </c>
      <c r="I77" s="23">
        <f>C77</f>
        <v/>
      </c>
      <c r="J77" s="23">
        <f>C77</f>
        <v/>
      </c>
      <c r="K77" s="23">
        <f>C77</f>
        <v/>
      </c>
      <c r="L77" s="23">
        <f>C77</f>
        <v/>
      </c>
      <c r="N77" s="18" t="inlineStr">
        <is>
          <t>ESTIMATE — a verified club's floor carries more of them past the bar</t>
        </is>
      </c>
    </row>
    <row r="78">
      <c r="A78" s="13" t="inlineStr">
        <is>
          <t>Review rate — club-nominated</t>
        </is>
      </c>
      <c r="B78" s="14" t="inlineStr">
        <is>
          <t>% needing a human</t>
        </is>
      </c>
      <c r="C78" s="16" t="n">
        <v>0.18</v>
      </c>
      <c r="D78" s="23">
        <f>C78</f>
        <v/>
      </c>
      <c r="E78" s="23">
        <f>C78</f>
        <v/>
      </c>
      <c r="F78" s="23">
        <f>C78</f>
        <v/>
      </c>
      <c r="G78" s="23">
        <f>C78</f>
        <v/>
      </c>
      <c r="H78" s="23">
        <f>C78</f>
        <v/>
      </c>
      <c r="I78" s="23">
        <f>C78</f>
        <v/>
      </c>
      <c r="J78" s="23">
        <f>C78</f>
        <v/>
      </c>
      <c r="K78" s="23">
        <f>C78</f>
        <v/>
      </c>
      <c r="L78" s="23">
        <f>C78</f>
        <v/>
      </c>
      <c r="N78" s="18" t="inlineStr">
        <is>
          <t>ESTIMATE</t>
        </is>
      </c>
    </row>
    <row r="79">
      <c r="A79" s="13" t="inlineStr">
        <is>
          <t>Applicants arriving via a club</t>
        </is>
      </c>
      <c r="B79" s="14" t="inlineStr">
        <is>
          <t>% of applicants</t>
        </is>
      </c>
      <c r="C79" s="16" t="n">
        <v>0</v>
      </c>
      <c r="D79" s="16" t="n">
        <v>0.1</v>
      </c>
      <c r="E79" s="16" t="n">
        <v>0.2</v>
      </c>
      <c r="F79" s="16" t="n">
        <v>0.28</v>
      </c>
      <c r="G79" s="16" t="n">
        <v>0.34</v>
      </c>
      <c r="H79" s="16" t="n">
        <v>0.38</v>
      </c>
      <c r="I79" s="16" t="n">
        <v>0.42</v>
      </c>
      <c r="J79" s="16" t="n">
        <v>0.44</v>
      </c>
      <c r="K79" s="16" t="n">
        <v>0.46</v>
      </c>
      <c r="L79" s="16" t="n">
        <v>0.47</v>
      </c>
      <c r="N79" s="18" t="inlineStr">
        <is>
          <t>Grows as federation and club partnerships land</t>
        </is>
      </c>
    </row>
    <row r="80">
      <c r="A80" s="13" t="inlineStr">
        <is>
          <t>Minutes per manual review</t>
        </is>
      </c>
      <c r="B80" s="14" t="inlineStr">
        <is>
          <t>min</t>
        </is>
      </c>
      <c r="C80" s="21" t="n">
        <v>4</v>
      </c>
      <c r="D80" s="31">
        <f>C80</f>
        <v/>
      </c>
      <c r="E80" s="31">
        <f>C80</f>
        <v/>
      </c>
      <c r="F80" s="31">
        <f>C80</f>
        <v/>
      </c>
      <c r="G80" s="31">
        <f>C80</f>
        <v/>
      </c>
      <c r="H80" s="31">
        <f>C80</f>
        <v/>
      </c>
      <c r="I80" s="31">
        <f>C80</f>
        <v/>
      </c>
      <c r="J80" s="31">
        <f>C80</f>
        <v/>
      </c>
      <c r="K80" s="31">
        <f>C80</f>
        <v/>
      </c>
      <c r="L80" s="31">
        <f>C80</f>
        <v/>
      </c>
      <c r="N80" s="18" t="inlineStr">
        <is>
          <t>Open the link, decide whether it names the applicant</t>
        </is>
      </c>
    </row>
    <row r="81">
      <c r="A81" s="13" t="inlineStr">
        <is>
          <t>Productive hours per reviewer-year</t>
        </is>
      </c>
      <c r="B81" s="14" t="inlineStr">
        <is>
          <t>h</t>
        </is>
      </c>
      <c r="C81" s="15" t="n">
        <v>1700</v>
      </c>
      <c r="D81" s="17">
        <f>C81</f>
        <v/>
      </c>
      <c r="E81" s="17">
        <f>C81</f>
        <v/>
      </c>
      <c r="F81" s="17">
        <f>C81</f>
        <v/>
      </c>
      <c r="G81" s="17">
        <f>C81</f>
        <v/>
      </c>
      <c r="H81" s="17">
        <f>C81</f>
        <v/>
      </c>
      <c r="I81" s="17">
        <f>C81</f>
        <v/>
      </c>
      <c r="J81" s="17">
        <f>C81</f>
        <v/>
      </c>
      <c r="K81" s="17">
        <f>C81</f>
        <v/>
      </c>
      <c r="L81" s="17">
        <f>C81</f>
        <v/>
      </c>
      <c r="N81" s="18" t="inlineStr">
        <is>
          <t>Prices review time off the same loaded salary line</t>
        </is>
      </c>
    </row>
    <row r="83">
      <c r="A83" s="11" t="inlineStr">
        <is>
          <t>VALUATION</t>
        </is>
      </c>
      <c r="B83" s="12" t="n"/>
      <c r="C83" s="12" t="n"/>
      <c r="D83" s="12" t="n"/>
      <c r="E83" s="12" t="n"/>
      <c r="F83" s="12" t="n"/>
      <c r="G83" s="12" t="n"/>
      <c r="H83" s="12" t="n"/>
      <c r="I83" s="12" t="n"/>
      <c r="J83" s="12" t="n"/>
      <c r="K83" s="12" t="n"/>
      <c r="L83" s="12" t="n"/>
    </row>
    <row r="84">
      <c r="A84" s="13" t="inlineStr">
        <is>
          <t>WACC / discount rate</t>
        </is>
      </c>
      <c r="B84" s="14" t="inlineStr">
        <is>
          <t>%</t>
        </is>
      </c>
      <c r="C84" s="16" t="n">
        <v>0.25</v>
      </c>
      <c r="D84" s="23">
        <f>C84</f>
        <v/>
      </c>
      <c r="E84" s="23">
        <f>C84</f>
        <v/>
      </c>
      <c r="F84" s="23">
        <f>C84</f>
        <v/>
      </c>
      <c r="G84" s="23">
        <f>C84</f>
        <v/>
      </c>
      <c r="H84" s="23">
        <f>C84</f>
        <v/>
      </c>
      <c r="I84" s="23">
        <f>C84</f>
        <v/>
      </c>
      <c r="J84" s="23">
        <f>C84</f>
        <v/>
      </c>
      <c r="K84" s="23">
        <f>C84</f>
        <v/>
      </c>
      <c r="L84" s="23">
        <f>C84</f>
        <v/>
      </c>
      <c r="N84" s="18" t="inlineStr">
        <is>
          <t>Early-stage venture hurdle</t>
        </is>
      </c>
    </row>
    <row r="85">
      <c r="A85" s="13" t="inlineStr">
        <is>
          <t>Terminal growth</t>
        </is>
      </c>
      <c r="B85" s="14" t="inlineStr">
        <is>
          <t>%</t>
        </is>
      </c>
      <c r="C85" s="16" t="n">
        <v>0.03</v>
      </c>
      <c r="D85" s="23">
        <f>C85</f>
        <v/>
      </c>
      <c r="E85" s="23">
        <f>C85</f>
        <v/>
      </c>
      <c r="F85" s="23">
        <f>C85</f>
        <v/>
      </c>
      <c r="G85" s="23">
        <f>C85</f>
        <v/>
      </c>
      <c r="H85" s="23">
        <f>C85</f>
        <v/>
      </c>
      <c r="I85" s="23">
        <f>C85</f>
        <v/>
      </c>
      <c r="J85" s="23">
        <f>C85</f>
        <v/>
      </c>
      <c r="K85" s="23">
        <f>C85</f>
        <v/>
      </c>
      <c r="L85" s="23">
        <f>C85</f>
        <v/>
      </c>
    </row>
    <row r="86">
      <c r="A86" s="13" t="inlineStr">
        <is>
          <t>Exit revenue multiple</t>
        </is>
      </c>
      <c r="B86" s="14" t="inlineStr">
        <is>
          <t>x</t>
        </is>
      </c>
      <c r="C86" s="21" t="n">
        <v>6.5</v>
      </c>
      <c r="D86" s="31">
        <f>C86</f>
        <v/>
      </c>
      <c r="E86" s="31">
        <f>C86</f>
        <v/>
      </c>
      <c r="F86" s="31">
        <f>C86</f>
        <v/>
      </c>
      <c r="G86" s="31">
        <f>C86</f>
        <v/>
      </c>
      <c r="H86" s="31">
        <f>C86</f>
        <v/>
      </c>
      <c r="I86" s="31">
        <f>C86</f>
        <v/>
      </c>
      <c r="J86" s="31">
        <f>C86</f>
        <v/>
      </c>
      <c r="K86" s="31">
        <f>C86</f>
        <v/>
      </c>
      <c r="L86" s="31">
        <f>C86</f>
        <v/>
      </c>
      <c r="N86" s="18" t="inlineStr">
        <is>
          <t>Blended marketplace + SaaS comparables</t>
        </is>
      </c>
    </row>
    <row r="87">
      <c r="A87" s="13" t="inlineStr">
        <is>
          <t>Risk-free rate (Spanish 10Y)</t>
        </is>
      </c>
      <c r="B87" s="14" t="inlineStr">
        <is>
          <t>%</t>
        </is>
      </c>
      <c r="C87" s="36" t="n">
        <v>0.032</v>
      </c>
      <c r="D87" s="23">
        <f>C87</f>
        <v/>
      </c>
      <c r="E87" s="23">
        <f>C87</f>
        <v/>
      </c>
      <c r="F87" s="23">
        <f>C87</f>
        <v/>
      </c>
      <c r="G87" s="23">
        <f>C87</f>
        <v/>
      </c>
      <c r="H87" s="23">
        <f>C87</f>
        <v/>
      </c>
      <c r="I87" s="23">
        <f>C87</f>
        <v/>
      </c>
      <c r="J87" s="23">
        <f>C87</f>
        <v/>
      </c>
      <c r="K87" s="23">
        <f>C87</f>
        <v/>
      </c>
      <c r="L87" s="23">
        <f>C87</f>
        <v/>
      </c>
      <c r="N87" s="18" t="inlineStr">
        <is>
          <t>Spanish 10Y government bond, mid-2026</t>
        </is>
      </c>
    </row>
    <row r="88">
      <c r="A88" s="13" t="inlineStr">
        <is>
          <t>Founder alternative return</t>
        </is>
      </c>
      <c r="B88" s="14" t="inlineStr">
        <is>
          <t>%</t>
        </is>
      </c>
      <c r="C88" s="16" t="n">
        <v>0.07000000000000001</v>
      </c>
      <c r="D88" s="23">
        <f>C88</f>
        <v/>
      </c>
      <c r="E88" s="23">
        <f>C88</f>
        <v/>
      </c>
      <c r="F88" s="23">
        <f>C88</f>
        <v/>
      </c>
      <c r="G88" s="23">
        <f>C88</f>
        <v/>
      </c>
      <c r="H88" s="23">
        <f>C88</f>
        <v/>
      </c>
      <c r="I88" s="23">
        <f>C88</f>
        <v/>
      </c>
      <c r="J88" s="23">
        <f>C88</f>
        <v/>
      </c>
      <c r="K88" s="23">
        <f>C88</f>
        <v/>
      </c>
      <c r="L88" s="23">
        <f>C88</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39" t="inlineStr">
        <is>
          <t>Niche paying fans (year end)</t>
        </is>
      </c>
      <c r="B13" s="40" t="inlineStr"/>
      <c r="C13" s="41">
        <f>C12*Assumptions!C11</f>
        <v/>
      </c>
      <c r="D13" s="41">
        <f>D12*Assumptions!D11</f>
        <v/>
      </c>
      <c r="E13" s="41">
        <f>E12*Assumptions!E11</f>
        <v/>
      </c>
      <c r="F13" s="41">
        <f>F12*Assumptions!F11</f>
        <v/>
      </c>
      <c r="G13" s="41">
        <f>G12*Assumptions!G11</f>
        <v/>
      </c>
      <c r="H13" s="41">
        <f>H12*Assumptions!H11</f>
        <v/>
      </c>
      <c r="I13" s="41">
        <f>I12*Assumptions!I11</f>
        <v/>
      </c>
      <c r="J13" s="41">
        <f>J12*Assumptions!J11</f>
        <v/>
      </c>
      <c r="K13" s="41">
        <f>K12*Assumptions!K11</f>
        <v/>
      </c>
      <c r="L13" s="41">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17">
        <f>C19*12*Assumptions!C13</f>
        <v/>
      </c>
      <c r="D20" s="17">
        <f>D19*12*Assumptions!D13</f>
        <v/>
      </c>
      <c r="E20" s="17">
        <f>E19*12*Assumptions!E13</f>
        <v/>
      </c>
      <c r="F20" s="17">
        <f>F19*12*Assumptions!F13</f>
        <v/>
      </c>
      <c r="G20" s="17">
        <f>G19*12*Assumptions!G13</f>
        <v/>
      </c>
      <c r="H20" s="17">
        <f>H19*12*Assumptions!H13</f>
        <v/>
      </c>
      <c r="I20" s="17">
        <f>I19*12*Assumptions!I13</f>
        <v/>
      </c>
      <c r="J20" s="17">
        <f>J19*12*Assumptions!J13</f>
        <v/>
      </c>
      <c r="K20" s="17">
        <f>K19*12*Assumptions!K13</f>
        <v/>
      </c>
      <c r="L20" s="17">
        <f>L19*12*Assumptions!L13</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17">
        <f>IF(1=1,0,C7*Assumptions!C26)</f>
        <v/>
      </c>
      <c r="D23" s="17">
        <f>IF(2=1,0,C7*Assumptions!D26)</f>
        <v/>
      </c>
      <c r="E23" s="17">
        <f>IF(3=1,0,D7*Assumptions!E26)</f>
        <v/>
      </c>
      <c r="F23" s="17">
        <f>IF(4=1,0,E7*Assumptions!F26)</f>
        <v/>
      </c>
      <c r="G23" s="17">
        <f>IF(5=1,0,F7*Assumptions!G26)</f>
        <v/>
      </c>
      <c r="H23" s="17">
        <f>IF(6=1,0,G7*Assumptions!H26)</f>
        <v/>
      </c>
      <c r="I23" s="17">
        <f>IF(7=1,0,H7*Assumptions!I26)</f>
        <v/>
      </c>
      <c r="J23" s="17">
        <f>IF(8=1,0,I7*Assumptions!J26)</f>
        <v/>
      </c>
      <c r="K23" s="17">
        <f>IF(9=1,0,J7*Assumptions!K26)</f>
        <v/>
      </c>
      <c r="L23" s="17">
        <f>IF(10=1,0,K7*Assumptions!L26)</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17">
        <f>C7*Assumptions!C22</f>
        <v/>
      </c>
      <c r="D25" s="17">
        <f>D7*Assumptions!D22</f>
        <v/>
      </c>
      <c r="E25" s="17">
        <f>E7*Assumptions!E22</f>
        <v/>
      </c>
      <c r="F25" s="17">
        <f>F7*Assumptions!F22</f>
        <v/>
      </c>
      <c r="G25" s="17">
        <f>G7*Assumptions!G22</f>
        <v/>
      </c>
      <c r="H25" s="17">
        <f>H7*Assumptions!H22</f>
        <v/>
      </c>
      <c r="I25" s="17">
        <f>I7*Assumptions!I22</f>
        <v/>
      </c>
      <c r="J25" s="17">
        <f>J7*Assumptions!J22</f>
        <v/>
      </c>
      <c r="K25" s="17">
        <f>K7*Assumptions!K22</f>
        <v/>
      </c>
      <c r="L25" s="17">
        <f>L7*Assumptions!L22</f>
        <v/>
      </c>
    </row>
    <row r="26">
      <c r="A26" s="39" t="inlineStr">
        <is>
          <t>Popular paying fans (year end)</t>
        </is>
      </c>
      <c r="B26" s="40" t="inlineStr"/>
      <c r="C26" s="41">
        <f>C25*Assumptions!C23</f>
        <v/>
      </c>
      <c r="D26" s="41">
        <f>D25*Assumptions!D23</f>
        <v/>
      </c>
      <c r="E26" s="41">
        <f>E25*Assumptions!E23</f>
        <v/>
      </c>
      <c r="F26" s="41">
        <f>F25*Assumptions!F23</f>
        <v/>
      </c>
      <c r="G26" s="41">
        <f>G25*Assumptions!G23</f>
        <v/>
      </c>
      <c r="H26" s="41">
        <f>H25*Assumptions!H23</f>
        <v/>
      </c>
      <c r="I26" s="41">
        <f>I25*Assumptions!I23</f>
        <v/>
      </c>
      <c r="J26" s="41">
        <f>J25*Assumptions!J23</f>
        <v/>
      </c>
      <c r="K26" s="41">
        <f>K25*Assumptions!K23</f>
        <v/>
      </c>
      <c r="L26" s="41">
        <f>L25*Assumptions!L23</f>
        <v/>
      </c>
    </row>
    <row r="27">
      <c r="A27" s="13" t="inlineStr">
        <is>
          <t>Popular monthly retention r = 1-churn</t>
        </is>
      </c>
      <c r="B27" s="14" t="inlineStr">
        <is>
          <t>factor</t>
        </is>
      </c>
      <c r="C27" s="33">
        <f>1-Assumptions!C25</f>
        <v/>
      </c>
      <c r="D27" s="33">
        <f>1-Assumptions!D25</f>
        <v/>
      </c>
      <c r="E27" s="33">
        <f>1-Assumptions!E25</f>
        <v/>
      </c>
      <c r="F27" s="33">
        <f>1-Assumptions!F25</f>
        <v/>
      </c>
      <c r="G27" s="33">
        <f>1-Assumptions!G25</f>
        <v/>
      </c>
      <c r="H27" s="33">
        <f>1-Assumptions!H25</f>
        <v/>
      </c>
      <c r="I27" s="33">
        <f>1-Assumptions!I25</f>
        <v/>
      </c>
      <c r="J27" s="33">
        <f>1-Assumptions!J25</f>
        <v/>
      </c>
      <c r="K27" s="33">
        <f>1-Assumptions!K25</f>
        <v/>
      </c>
      <c r="L27" s="33">
        <f>1-Assumptions!L25</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then capped by capacity</t>
        </is>
      </c>
      <c r="C29" s="17">
        <f>MIN(MAX(0,(C26-C28)/((1-C27^12)/(1-C27))),C25*Assumptions!C27/12)</f>
        <v/>
      </c>
      <c r="D29" s="17">
        <f>MIN(MAX(0,(D26-D28)/((1-D27^12)/(1-D27))),D25*Assumptions!D27/12)</f>
        <v/>
      </c>
      <c r="E29" s="17">
        <f>MIN(MAX(0,(E26-E28)/((1-E27^12)/(1-E27))),E25*Assumptions!E27/12)</f>
        <v/>
      </c>
      <c r="F29" s="17">
        <f>MIN(MAX(0,(F26-F28)/((1-F27^12)/(1-F27))),F25*Assumptions!F27/12)</f>
        <v/>
      </c>
      <c r="G29" s="17">
        <f>MIN(MAX(0,(G26-G28)/((1-G27^12)/(1-G27))),G25*Assumptions!G27/12)</f>
        <v/>
      </c>
      <c r="H29" s="17">
        <f>MIN(MAX(0,(H26-H28)/((1-H27^12)/(1-H27))),H25*Assumptions!H27/12)</f>
        <v/>
      </c>
      <c r="I29" s="17">
        <f>MIN(MAX(0,(I26-I28)/((1-I27^12)/(1-I27))),I25*Assumptions!I27/12)</f>
        <v/>
      </c>
      <c r="J29" s="17">
        <f>MIN(MAX(0,(J26-J28)/((1-J27^12)/(1-J27))),J25*Assumptions!J27/12)</f>
        <v/>
      </c>
      <c r="K29" s="17">
        <f>MIN(MAX(0,(K26-K28)/((1-K27^12)/(1-K27))),K25*Assumptions!K27/12)</f>
        <v/>
      </c>
      <c r="L29" s="17">
        <f>MIN(MAX(0,(L26-L28)/((1-L27^12)/(1-L27))),L25*Assumptions!L27/12)</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17">
        <f>C32*12*Assumptions!C25</f>
        <v/>
      </c>
      <c r="D33" s="17">
        <f>D32*12*Assumptions!D25</f>
        <v/>
      </c>
      <c r="E33" s="17">
        <f>E32*12*Assumptions!E25</f>
        <v/>
      </c>
      <c r="F33" s="17">
        <f>F32*12*Assumptions!F25</f>
        <v/>
      </c>
      <c r="G33" s="17">
        <f>G32*12*Assumptions!G25</f>
        <v/>
      </c>
      <c r="H33" s="17">
        <f>H32*12*Assumptions!H25</f>
        <v/>
      </c>
      <c r="I33" s="17">
        <f>I32*12*Assumptions!I25</f>
        <v/>
      </c>
      <c r="J33" s="17">
        <f>J32*12*Assumptions!J25</f>
        <v/>
      </c>
      <c r="K33" s="17">
        <f>K32*12*Assumptions!K25</f>
        <v/>
      </c>
      <c r="L33" s="17">
        <f>L32*12*Assumptions!L25</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17">
        <f>C6*Assumptions!C16*Assumptions!C17</f>
        <v/>
      </c>
      <c r="D42" s="17">
        <f>D6*Assumptions!D16*Assumptions!D17</f>
        <v/>
      </c>
      <c r="E42" s="17">
        <f>E6*Assumptions!E16*Assumptions!E17</f>
        <v/>
      </c>
      <c r="F42" s="17">
        <f>F6*Assumptions!F16*Assumptions!F17</f>
        <v/>
      </c>
      <c r="G42" s="17">
        <f>G6*Assumptions!G16*Assumptions!G17</f>
        <v/>
      </c>
      <c r="H42" s="17">
        <f>H6*Assumptions!H16*Assumptions!H17</f>
        <v/>
      </c>
      <c r="I42" s="17">
        <f>I6*Assumptions!I16*Assumptions!I17</f>
        <v/>
      </c>
      <c r="J42" s="17">
        <f>J6*Assumptions!J16*Assumptions!J17</f>
        <v/>
      </c>
      <c r="K42" s="17">
        <f>K6*Assumptions!K16*Assumptions!K17</f>
        <v/>
      </c>
      <c r="L42" s="17">
        <f>L6*Assumptions!L16*Assumptions!L17</f>
        <v/>
      </c>
    </row>
    <row r="43">
      <c r="A43" s="13" t="inlineStr">
        <is>
          <t>Popular deals</t>
        </is>
      </c>
      <c r="B43" s="14" t="inlineStr"/>
      <c r="C43" s="17">
        <f>C7*Assumptions!C28*Assumptions!C29</f>
        <v/>
      </c>
      <c r="D43" s="17">
        <f>D7*Assumptions!D28*Assumptions!D29</f>
        <v/>
      </c>
      <c r="E43" s="17">
        <f>E7*Assumptions!E28*Assumptions!E29</f>
        <v/>
      </c>
      <c r="F43" s="17">
        <f>F7*Assumptions!F28*Assumptions!F29</f>
        <v/>
      </c>
      <c r="G43" s="17">
        <f>G7*Assumptions!G28*Assumptions!G29</f>
        <v/>
      </c>
      <c r="H43" s="17">
        <f>H7*Assumptions!H28*Assumptions!H29</f>
        <v/>
      </c>
      <c r="I43" s="17">
        <f>I7*Assumptions!I28*Assumptions!I29</f>
        <v/>
      </c>
      <c r="J43" s="17">
        <f>J7*Assumptions!J28*Assumptions!J29</f>
        <v/>
      </c>
      <c r="K43" s="17">
        <f>K7*Assumptions!K28*Assumptions!K29</f>
        <v/>
      </c>
      <c r="L43" s="17">
        <f>L7*Assumptions!L28*Assumptions!L29</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Supply factor</t>
        </is>
      </c>
      <c r="B45" s="14" t="inlineStr">
        <is>
          <t>athletes / floor, capped at 1</t>
        </is>
      </c>
      <c r="C45" s="33">
        <f>MIN(1,C5/Assumptions!C7)</f>
        <v/>
      </c>
      <c r="D45" s="33">
        <f>MIN(1,D5/Assumptions!D7)</f>
        <v/>
      </c>
      <c r="E45" s="33">
        <f>MIN(1,E5/Assumptions!E7)</f>
        <v/>
      </c>
      <c r="F45" s="33">
        <f>MIN(1,F5/Assumptions!F7)</f>
        <v/>
      </c>
      <c r="G45" s="33">
        <f>MIN(1,G5/Assumptions!G7)</f>
        <v/>
      </c>
      <c r="H45" s="33">
        <f>MIN(1,H5/Assumptions!H7)</f>
        <v/>
      </c>
      <c r="I45" s="33">
        <f>MIN(1,I5/Assumptions!I7)</f>
        <v/>
      </c>
      <c r="J45" s="33">
        <f>MIN(1,J5/Assumptions!J7)</f>
        <v/>
      </c>
      <c r="K45" s="33">
        <f>MIN(1,K5/Assumptions!K7)</f>
        <v/>
      </c>
      <c r="L45" s="33">
        <f>MIN(1,L5/Assumptions!L7)</f>
        <v/>
      </c>
    </row>
    <row r="46">
      <c r="A46" s="13" t="inlineStr">
        <is>
          <t>Paying sponsors</t>
        </is>
      </c>
      <c r="B46" s="14" t="inlineStr"/>
      <c r="C46" s="17">
        <f>Assumptions!C34*Assumptions!C35*C45</f>
        <v/>
      </c>
      <c r="D46" s="17">
        <f>Assumptions!D34*Assumptions!D35*D45</f>
        <v/>
      </c>
      <c r="E46" s="17">
        <f>Assumptions!E34*Assumptions!E35*E45</f>
        <v/>
      </c>
      <c r="F46" s="17">
        <f>Assumptions!F34*Assumptions!F35*F45</f>
        <v/>
      </c>
      <c r="G46" s="17">
        <f>Assumptions!G34*Assumptions!G35*G45</f>
        <v/>
      </c>
      <c r="H46" s="17">
        <f>Assumptions!H34*Assumptions!H35*H45</f>
        <v/>
      </c>
      <c r="I46" s="17">
        <f>Assumptions!I34*Assumptions!I35*I45</f>
        <v/>
      </c>
      <c r="J46" s="17">
        <f>Assumptions!J34*Assumptions!J35*J45</f>
        <v/>
      </c>
      <c r="K46" s="17">
        <f>Assumptions!K34*Assumptions!K35*K45</f>
        <v/>
      </c>
      <c r="L46" s="17">
        <f>Assumptions!L34*Assumptions!L35*L45</f>
        <v/>
      </c>
    </row>
    <row r="47">
      <c r="A47" s="13" t="inlineStr">
        <is>
          <t>Sponsors acquired (gross)</t>
        </is>
      </c>
      <c r="B47" s="14" t="inlineStr"/>
      <c r="C47" s="17">
        <f>MAX(0,Assumptions!C34-IF(1=1,0,Assumptions!C34))</f>
        <v/>
      </c>
      <c r="D47" s="17">
        <f>MAX(0,Assumptions!D34-IF(2=1,0,Assumptions!C34))</f>
        <v/>
      </c>
      <c r="E47" s="17">
        <f>MAX(0,Assumptions!E34-IF(3=1,0,Assumptions!D34))</f>
        <v/>
      </c>
      <c r="F47" s="17">
        <f>MAX(0,Assumptions!F34-IF(4=1,0,Assumptions!E34))</f>
        <v/>
      </c>
      <c r="G47" s="17">
        <f>MAX(0,Assumptions!G34-IF(5=1,0,Assumptions!F34))</f>
        <v/>
      </c>
      <c r="H47" s="17">
        <f>MAX(0,Assumptions!H34-IF(6=1,0,Assumptions!G34))</f>
        <v/>
      </c>
      <c r="I47" s="17">
        <f>MAX(0,Assumptions!I34-IF(7=1,0,Assumptions!H34))</f>
        <v/>
      </c>
      <c r="J47" s="17">
        <f>MAX(0,Assumptions!J34-IF(8=1,0,Assumptions!I34))</f>
        <v/>
      </c>
      <c r="K47" s="17">
        <f>MAX(0,Assumptions!K34-IF(9=1,0,Assumptions!J34))</f>
        <v/>
      </c>
      <c r="L47" s="17">
        <f>MAX(0,Assumptions!L34-IF(10=1,0,Assumptions!K34))</f>
        <v/>
      </c>
    </row>
    <row r="49">
      <c r="A49" s="11" t="inlineStr">
        <is>
          <t>ADMISSION FUNNEL</t>
        </is>
      </c>
      <c r="B49" s="12" t="n"/>
      <c r="C49" s="12" t="n"/>
      <c r="D49" s="12" t="n"/>
      <c r="E49" s="12" t="n"/>
      <c r="F49" s="12" t="n"/>
      <c r="G49" s="12" t="n"/>
      <c r="H49" s="12" t="n"/>
      <c r="I49" s="12" t="n"/>
      <c r="J49" s="12" t="n"/>
      <c r="K49" s="12" t="n"/>
      <c r="L49" s="12" t="n"/>
    </row>
    <row r="50">
      <c r="A50" s="13" t="inlineStr">
        <is>
          <t>Blended admission rate</t>
        </is>
      </c>
      <c r="B50" s="14" t="inlineStr">
        <is>
          <t>weighted by channel</t>
        </is>
      </c>
      <c r="C50" s="23">
        <f>Assumptions!C79*Assumptions!C77+(1-Assumptions!C79)*Assumptions!C75</f>
        <v/>
      </c>
      <c r="D50" s="23">
        <f>Assumptions!D79*Assumptions!D77+(1-Assumptions!D79)*Assumptions!D75</f>
        <v/>
      </c>
      <c r="E50" s="23">
        <f>Assumptions!E79*Assumptions!E77+(1-Assumptions!E79)*Assumptions!E75</f>
        <v/>
      </c>
      <c r="F50" s="23">
        <f>Assumptions!F79*Assumptions!F77+(1-Assumptions!F79)*Assumptions!F75</f>
        <v/>
      </c>
      <c r="G50" s="23">
        <f>Assumptions!G79*Assumptions!G77+(1-Assumptions!G79)*Assumptions!G75</f>
        <v/>
      </c>
      <c r="H50" s="23">
        <f>Assumptions!H79*Assumptions!H77+(1-Assumptions!H79)*Assumptions!H75</f>
        <v/>
      </c>
      <c r="I50" s="23">
        <f>Assumptions!I79*Assumptions!I77+(1-Assumptions!I79)*Assumptions!I75</f>
        <v/>
      </c>
      <c r="J50" s="23">
        <f>Assumptions!J79*Assumptions!J77+(1-Assumptions!J79)*Assumptions!J75</f>
        <v/>
      </c>
      <c r="K50" s="23">
        <f>Assumptions!K79*Assumptions!K77+(1-Assumptions!K79)*Assumptions!K75</f>
        <v/>
      </c>
      <c r="L50" s="23">
        <f>Assumptions!L79*Assumptions!L77+(1-Assumptions!L79)*Assumptions!L75</f>
        <v/>
      </c>
    </row>
    <row r="51">
      <c r="A51" s="13" t="inlineStr">
        <is>
          <t>Blended review rate</t>
        </is>
      </c>
      <c r="B51" s="14" t="inlineStr">
        <is>
          <t>weighted by channel</t>
        </is>
      </c>
      <c r="C51" s="23">
        <f>Assumptions!C79*Assumptions!C78+(1-Assumptions!C79)*Assumptions!C76</f>
        <v/>
      </c>
      <c r="D51" s="23">
        <f>Assumptions!D79*Assumptions!D78+(1-Assumptions!D79)*Assumptions!D76</f>
        <v/>
      </c>
      <c r="E51" s="23">
        <f>Assumptions!E79*Assumptions!E78+(1-Assumptions!E79)*Assumptions!E76</f>
        <v/>
      </c>
      <c r="F51" s="23">
        <f>Assumptions!F79*Assumptions!F78+(1-Assumptions!F79)*Assumptions!F76</f>
        <v/>
      </c>
      <c r="G51" s="23">
        <f>Assumptions!G79*Assumptions!G78+(1-Assumptions!G79)*Assumptions!G76</f>
        <v/>
      </c>
      <c r="H51" s="23">
        <f>Assumptions!H79*Assumptions!H78+(1-Assumptions!H79)*Assumptions!H76</f>
        <v/>
      </c>
      <c r="I51" s="23">
        <f>Assumptions!I79*Assumptions!I78+(1-Assumptions!I79)*Assumptions!I76</f>
        <v/>
      </c>
      <c r="J51" s="23">
        <f>Assumptions!J79*Assumptions!J78+(1-Assumptions!J79)*Assumptions!J76</f>
        <v/>
      </c>
      <c r="K51" s="23">
        <f>Assumptions!K79*Assumptions!K78+(1-Assumptions!K79)*Assumptions!K76</f>
        <v/>
      </c>
      <c r="L51" s="23">
        <f>Assumptions!L79*Assumptions!L78+(1-Assumptions!L79)*Assumptions!L76</f>
        <v/>
      </c>
    </row>
    <row r="52">
      <c r="A52" s="13" t="inlineStr">
        <is>
          <t>Applications required</t>
        </is>
      </c>
      <c r="B52" s="14" t="inlineStr">
        <is>
          <t>gross adds / admission rate</t>
        </is>
      </c>
      <c r="C52" s="38">
        <f>C38/C50</f>
        <v/>
      </c>
      <c r="D52" s="38">
        <f>D38/D50</f>
        <v/>
      </c>
      <c r="E52" s="38">
        <f>E38/E50</f>
        <v/>
      </c>
      <c r="F52" s="38">
        <f>F38/F50</f>
        <v/>
      </c>
      <c r="G52" s="38">
        <f>G38/G50</f>
        <v/>
      </c>
      <c r="H52" s="38">
        <f>H38/H50</f>
        <v/>
      </c>
      <c r="I52" s="38">
        <f>I38/I50</f>
        <v/>
      </c>
      <c r="J52" s="38">
        <f>J38/J50</f>
        <v/>
      </c>
      <c r="K52" s="38">
        <f>K38/K50</f>
        <v/>
      </c>
      <c r="L52" s="38">
        <f>L38/L50</f>
        <v/>
      </c>
    </row>
    <row r="53">
      <c r="A53" s="13" t="inlineStr">
        <is>
          <t>Manual reviews</t>
        </is>
      </c>
      <c r="B53" s="14" t="inlineStr">
        <is>
          <t>applications x review rate</t>
        </is>
      </c>
      <c r="C53" s="38">
        <f>C52*C51</f>
        <v/>
      </c>
      <c r="D53" s="38">
        <f>D52*D51</f>
        <v/>
      </c>
      <c r="E53" s="38">
        <f>E52*E51</f>
        <v/>
      </c>
      <c r="F53" s="38">
        <f>F52*F51</f>
        <v/>
      </c>
      <c r="G53" s="38">
        <f>G52*G51</f>
        <v/>
      </c>
      <c r="H53" s="38">
        <f>H52*H51</f>
        <v/>
      </c>
      <c r="I53" s="38">
        <f>I52*I51</f>
        <v/>
      </c>
      <c r="J53" s="38">
        <f>J52*J51</f>
        <v/>
      </c>
      <c r="K53" s="38">
        <f>K52*K51</f>
        <v/>
      </c>
      <c r="L53" s="38">
        <f>L52*L51</f>
        <v/>
      </c>
    </row>
    <row r="54">
      <c r="A54" s="13" t="inlineStr">
        <is>
          <t>Reviewer FTE implied</t>
        </is>
      </c>
      <c r="B54" s="14" t="inlineStr">
        <is>
          <t>the real constraint, not the euros</t>
        </is>
      </c>
      <c r="C54" s="25">
        <f>C53*Assumptions!C80/60/Assumptions!C81</f>
        <v/>
      </c>
      <c r="D54" s="25">
        <f>D53*Assumptions!D80/60/Assumptions!D81</f>
        <v/>
      </c>
      <c r="E54" s="25">
        <f>E53*Assumptions!E80/60/Assumptions!E81</f>
        <v/>
      </c>
      <c r="F54" s="25">
        <f>F53*Assumptions!F80/60/Assumptions!F81</f>
        <v/>
      </c>
      <c r="G54" s="25">
        <f>G53*Assumptions!G80/60/Assumptions!G81</f>
        <v/>
      </c>
      <c r="H54" s="25">
        <f>H53*Assumptions!H80/60/Assumptions!H81</f>
        <v/>
      </c>
      <c r="I54" s="25">
        <f>I53*Assumptions!I80/60/Assumptions!I81</f>
        <v/>
      </c>
      <c r="J54" s="25">
        <f>J53*Assumptions!J80/60/Assumptions!J81</f>
        <v/>
      </c>
      <c r="K54" s="25">
        <f>K53*Assumptions!K80/60/Assumptions!K81</f>
        <v/>
      </c>
      <c r="L54" s="25">
        <f>L53*Assumptions!L80/60/Assumptions!L81</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t>
        </is>
      </c>
      <c r="B4" s="12" t="n"/>
      <c r="C4" s="12" t="n"/>
      <c r="D4" s="12" t="n"/>
      <c r="E4" s="12" t="n"/>
      <c r="F4" s="12" t="n"/>
      <c r="G4" s="12" t="n"/>
      <c r="H4" s="12" t="n"/>
      <c r="I4" s="12" t="n"/>
      <c r="J4" s="12" t="n"/>
      <c r="K4" s="12" t="n"/>
      <c r="L4" s="12" t="n"/>
    </row>
    <row r="5">
      <c r="A5" s="13" t="inlineStr">
        <is>
          <t>Niche subscription GMV</t>
        </is>
      </c>
      <c r="B5" s="14" t="inlineStr">
        <is>
          <t>avg fans x ARPU x 12</t>
        </is>
      </c>
      <c r="C5" s="30">
        <f>Drivers!C19*Assumptions!C12*12</f>
        <v/>
      </c>
      <c r="D5" s="30">
        <f>Drivers!D19*Assumptions!D12*12</f>
        <v/>
      </c>
      <c r="E5" s="30">
        <f>Drivers!E19*Assumptions!E12*12</f>
        <v/>
      </c>
      <c r="F5" s="30">
        <f>Drivers!F19*Assumptions!F12*12</f>
        <v/>
      </c>
      <c r="G5" s="30">
        <f>Drivers!G19*Assumptions!G12*12</f>
        <v/>
      </c>
      <c r="H5" s="30">
        <f>Drivers!H19*Assumptions!H12*12</f>
        <v/>
      </c>
      <c r="I5" s="30">
        <f>Drivers!I19*Assumptions!I12*12</f>
        <v/>
      </c>
      <c r="J5" s="30">
        <f>Drivers!J19*Assumptions!J12*12</f>
        <v/>
      </c>
      <c r="K5" s="30">
        <f>Drivers!K19*Assumptions!K12*12</f>
        <v/>
      </c>
      <c r="L5" s="30">
        <f>Drivers!L19*Assumptions!L12*12</f>
        <v/>
      </c>
    </row>
    <row r="6">
      <c r="A6" s="13" t="inlineStr">
        <is>
          <t>Popular subscription GMV</t>
        </is>
      </c>
      <c r="B6" s="14" t="inlineStr"/>
      <c r="C6" s="30">
        <f>Drivers!C32*Assumptions!C24*12</f>
        <v/>
      </c>
      <c r="D6" s="30">
        <f>Drivers!D32*Assumptions!D24*12</f>
        <v/>
      </c>
      <c r="E6" s="30">
        <f>Drivers!E32*Assumptions!E24*12</f>
        <v/>
      </c>
      <c r="F6" s="30">
        <f>Drivers!F32*Assumptions!F24*12</f>
        <v/>
      </c>
      <c r="G6" s="30">
        <f>Drivers!G32*Assumptions!G24*12</f>
        <v/>
      </c>
      <c r="H6" s="30">
        <f>Drivers!H32*Assumptions!H24*12</f>
        <v/>
      </c>
      <c r="I6" s="30">
        <f>Drivers!I32*Assumptions!I24*12</f>
        <v/>
      </c>
      <c r="J6" s="30">
        <f>Drivers!J32*Assumptions!J24*12</f>
        <v/>
      </c>
      <c r="K6" s="30">
        <f>Drivers!K32*Assumptions!K24*12</f>
        <v/>
      </c>
      <c r="L6" s="30">
        <f>Drivers!L32*Assumptions!L24*12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30">
        <f>C7*Assumptions!C42</f>
        <v/>
      </c>
      <c r="D8" s="30">
        <f>D7*Assumptions!D42</f>
        <v/>
      </c>
      <c r="E8" s="30">
        <f>E7*Assumptions!E42</f>
        <v/>
      </c>
      <c r="F8" s="30">
        <f>F7*Assumptions!F42</f>
        <v/>
      </c>
      <c r="G8" s="30">
        <f>G7*Assumptions!G42</f>
        <v/>
      </c>
      <c r="H8" s="30">
        <f>H7*Assumptions!H42</f>
        <v/>
      </c>
      <c r="I8" s="30">
        <f>I7*Assumptions!I42</f>
        <v/>
      </c>
      <c r="J8" s="30">
        <f>J7*Assumptions!J42</f>
        <v/>
      </c>
      <c r="K8" s="30">
        <f>K7*Assumptions!K42</f>
        <v/>
      </c>
      <c r="L8" s="30">
        <f>L7*Assumptions!L42</f>
        <v/>
      </c>
    </row>
    <row r="9">
      <c r="A9" s="39" t="inlineStr">
        <is>
          <t>Total fan GMV</t>
        </is>
      </c>
      <c r="B9" s="40" t="inlineStr"/>
      <c r="C9" s="44">
        <f>C7+C8</f>
        <v/>
      </c>
      <c r="D9" s="44">
        <f>D7+D8</f>
        <v/>
      </c>
      <c r="E9" s="44">
        <f>E7+E8</f>
        <v/>
      </c>
      <c r="F9" s="44">
        <f>F7+F8</f>
        <v/>
      </c>
      <c r="G9" s="44">
        <f>G7+G8</f>
        <v/>
      </c>
      <c r="H9" s="44">
        <f>H7+H8</f>
        <v/>
      </c>
      <c r="I9" s="44">
        <f>I7+I8</f>
        <v/>
      </c>
      <c r="J9" s="44">
        <f>J7+J8</f>
        <v/>
      </c>
      <c r="K9" s="44">
        <f>K7+K8</f>
        <v/>
      </c>
      <c r="L9" s="44">
        <f>L7+L8</f>
        <v/>
      </c>
    </row>
    <row r="11">
      <c r="A11" s="11" t="inlineStr">
        <is>
          <t>SPONSORSHIP GMV — what sponsors pay athletes and clubs</t>
        </is>
      </c>
      <c r="B11" s="12" t="n"/>
      <c r="C11" s="12" t="n"/>
      <c r="D11" s="12" t="n"/>
      <c r="E11" s="12" t="n"/>
      <c r="F11" s="12" t="n"/>
      <c r="G11" s="12" t="n"/>
      <c r="H11" s="12" t="n"/>
      <c r="I11" s="12" t="n"/>
      <c r="J11" s="12" t="n"/>
      <c r="K11" s="12" t="n"/>
      <c r="L11" s="12" t="n"/>
    </row>
    <row r="12">
      <c r="A12" s="13" t="inlineStr">
        <is>
          <t>Niche sponsorship GMV</t>
        </is>
      </c>
      <c r="B12" s="14" t="inlineStr"/>
      <c r="C12" s="30">
        <f>Drivers!C42*Assumptions!C18</f>
        <v/>
      </c>
      <c r="D12" s="30">
        <f>Drivers!D42*Assumptions!D18</f>
        <v/>
      </c>
      <c r="E12" s="30">
        <f>Drivers!E42*Assumptions!E18</f>
        <v/>
      </c>
      <c r="F12" s="30">
        <f>Drivers!F42*Assumptions!F18</f>
        <v/>
      </c>
      <c r="G12" s="30">
        <f>Drivers!G42*Assumptions!G18</f>
        <v/>
      </c>
      <c r="H12" s="30">
        <f>Drivers!H42*Assumptions!H18</f>
        <v/>
      </c>
      <c r="I12" s="30">
        <f>Drivers!I42*Assumptions!I18</f>
        <v/>
      </c>
      <c r="J12" s="30">
        <f>Drivers!J42*Assumptions!J18</f>
        <v/>
      </c>
      <c r="K12" s="30">
        <f>Drivers!K42*Assumptions!K18</f>
        <v/>
      </c>
      <c r="L12" s="30">
        <f>Drivers!L42*Assumptions!L18</f>
        <v/>
      </c>
    </row>
    <row r="13">
      <c r="A13" s="13" t="inlineStr">
        <is>
          <t>Popular sponsorship GMV</t>
        </is>
      </c>
      <c r="B13" s="14" t="inlineStr"/>
      <c r="C13" s="30">
        <f>Drivers!C43*Assumptions!C30</f>
        <v/>
      </c>
      <c r="D13" s="30">
        <f>Drivers!D43*Assumptions!D30</f>
        <v/>
      </c>
      <c r="E13" s="30">
        <f>Drivers!E43*Assumptions!E30</f>
        <v/>
      </c>
      <c r="F13" s="30">
        <f>Drivers!F43*Assumptions!F30</f>
        <v/>
      </c>
      <c r="G13" s="30">
        <f>Drivers!G43*Assumptions!G30</f>
        <v/>
      </c>
      <c r="H13" s="30">
        <f>Drivers!H43*Assumptions!H30</f>
        <v/>
      </c>
      <c r="I13" s="30">
        <f>Drivers!I43*Assumptions!I30</f>
        <v/>
      </c>
      <c r="J13" s="30">
        <f>Drivers!J43*Assumptions!J30</f>
        <v/>
      </c>
      <c r="K13" s="30">
        <f>Drivers!K43*Assumptions!K30</f>
        <v/>
      </c>
      <c r="L13" s="30">
        <f>Drivers!L43*Assumptions!L30</f>
        <v/>
      </c>
    </row>
    <row r="14">
      <c r="A14" s="39" t="inlineStr">
        <is>
          <t>Total sponsorship GMV</t>
        </is>
      </c>
      <c r="B14" s="40" t="inlineStr"/>
      <c r="C14" s="44">
        <f>C12+C13</f>
        <v/>
      </c>
      <c r="D14" s="44">
        <f>D12+D13</f>
        <v/>
      </c>
      <c r="E14" s="44">
        <f>E12+E13</f>
        <v/>
      </c>
      <c r="F14" s="44">
        <f>F12+F13</f>
        <v/>
      </c>
      <c r="G14" s="44">
        <f>G12+G13</f>
        <v/>
      </c>
      <c r="H14" s="44">
        <f>H12+H13</f>
        <v/>
      </c>
      <c r="I14" s="44">
        <f>I12+I13</f>
        <v/>
      </c>
      <c r="J14" s="44">
        <f>J12+J13</f>
        <v/>
      </c>
      <c r="K14" s="44">
        <f>K12+K13</f>
        <v/>
      </c>
      <c r="L14" s="44">
        <f>L12+L13</f>
        <v/>
      </c>
    </row>
    <row r="15">
      <c r="A15" s="45" t="inlineStr">
        <is>
          <t>TOTAL GMV</t>
        </is>
      </c>
      <c r="B15" s="40" t="inlineStr"/>
      <c r="C15" s="46">
        <f>C9+C14</f>
        <v/>
      </c>
      <c r="D15" s="46">
        <f>D9+D14</f>
        <v/>
      </c>
      <c r="E15" s="46">
        <f>E9+E14</f>
        <v/>
      </c>
      <c r="F15" s="46">
        <f>F9+F14</f>
        <v/>
      </c>
      <c r="G15" s="46">
        <f>G9+G14</f>
        <v/>
      </c>
      <c r="H15" s="46">
        <f>H9+H14</f>
        <v/>
      </c>
      <c r="I15" s="46">
        <f>I9+I14</f>
        <v/>
      </c>
      <c r="J15" s="46">
        <f>J9+J14</f>
        <v/>
      </c>
      <c r="K15" s="46">
        <f>K9+K14</f>
        <v/>
      </c>
      <c r="L15" s="46">
        <f>L9+L14</f>
        <v/>
      </c>
    </row>
    <row r="17">
      <c r="A17" s="11" t="inlineStr">
        <is>
          <t>NET REVENUE — our share</t>
        </is>
      </c>
      <c r="B17" s="12" t="n"/>
      <c r="C17" s="12" t="n"/>
      <c r="D17" s="12" t="n"/>
      <c r="E17" s="12" t="n"/>
      <c r="F17" s="12" t="n"/>
      <c r="G17" s="12" t="n"/>
      <c r="H17" s="12" t="n"/>
      <c r="I17" s="12" t="n"/>
      <c r="J17" s="12" t="n"/>
      <c r="K17" s="12" t="n"/>
      <c r="L17" s="12" t="n"/>
    </row>
    <row r="18">
      <c r="A18" s="13" t="inlineStr">
        <is>
          <t>Fan take</t>
        </is>
      </c>
      <c r="B18" s="14" t="inlineStr">
        <is>
          <t>fan GMV x take rate</t>
        </is>
      </c>
      <c r="C18" s="30">
        <f>C9*Assumptions!C40</f>
        <v/>
      </c>
      <c r="D18" s="30">
        <f>D9*Assumptions!D40</f>
        <v/>
      </c>
      <c r="E18" s="30">
        <f>E9*Assumptions!E40</f>
        <v/>
      </c>
      <c r="F18" s="30">
        <f>F9*Assumptions!F40</f>
        <v/>
      </c>
      <c r="G18" s="30">
        <f>G9*Assumptions!G40</f>
        <v/>
      </c>
      <c r="H18" s="30">
        <f>H9*Assumptions!H40</f>
        <v/>
      </c>
      <c r="I18" s="30">
        <f>I9*Assumptions!I40</f>
        <v/>
      </c>
      <c r="J18" s="30">
        <f>J9*Assumptions!J40</f>
        <v/>
      </c>
      <c r="K18" s="30">
        <f>K9*Assumptions!K40</f>
        <v/>
      </c>
      <c r="L18" s="30">
        <f>L9*Assumptions!L40</f>
        <v/>
      </c>
    </row>
    <row r="19">
      <c r="A19" s="13" t="inlineStr">
        <is>
          <t>Sponsorship take</t>
        </is>
      </c>
      <c r="B19" s="14" t="inlineStr"/>
      <c r="C19" s="30">
        <f>C14*Assumptions!C41</f>
        <v/>
      </c>
      <c r="D19" s="30">
        <f>D14*Assumptions!D41</f>
        <v/>
      </c>
      <c r="E19" s="30">
        <f>E14*Assumptions!E41</f>
        <v/>
      </c>
      <c r="F19" s="30">
        <f>F14*Assumptions!F41</f>
        <v/>
      </c>
      <c r="G19" s="30">
        <f>G14*Assumptions!G41</f>
        <v/>
      </c>
      <c r="H19" s="30">
        <f>H14*Assumptions!H41</f>
        <v/>
      </c>
      <c r="I19" s="30">
        <f>I14*Assumptions!I41</f>
        <v/>
      </c>
      <c r="J19" s="30">
        <f>J14*Assumptions!J41</f>
        <v/>
      </c>
      <c r="K19" s="30">
        <f>K14*Assumptions!K41</f>
        <v/>
      </c>
      <c r="L19" s="30">
        <f>L14*Assumptions!L41</f>
        <v/>
      </c>
    </row>
    <row r="20">
      <c r="A20" s="13" t="inlineStr">
        <is>
          <t>Sponsor SaaS</t>
        </is>
      </c>
      <c r="B20" s="14" t="inlineStr">
        <is>
          <t>paying sponsors x ARPU x 12</t>
        </is>
      </c>
      <c r="C20" s="30">
        <f>Drivers!C46*Assumptions!C36*12</f>
        <v/>
      </c>
      <c r="D20" s="30">
        <f>Drivers!D46*Assumptions!D36*12</f>
        <v/>
      </c>
      <c r="E20" s="30">
        <f>Drivers!E46*Assumptions!E36*12</f>
        <v/>
      </c>
      <c r="F20" s="30">
        <f>Drivers!F46*Assumptions!F36*12</f>
        <v/>
      </c>
      <c r="G20" s="30">
        <f>Drivers!G46*Assumptions!G36*12</f>
        <v/>
      </c>
      <c r="H20" s="30">
        <f>Drivers!H46*Assumptions!H36*12</f>
        <v/>
      </c>
      <c r="I20" s="30">
        <f>Drivers!I46*Assumptions!I36*12</f>
        <v/>
      </c>
      <c r="J20" s="30">
        <f>Drivers!J46*Assumptions!J36*12</f>
        <v/>
      </c>
      <c r="K20" s="30">
        <f>Drivers!K46*Assumptions!K36*12</f>
        <v/>
      </c>
      <c r="L20" s="30">
        <f>Drivers!L46*Assumptions!L36*12</f>
        <v/>
      </c>
    </row>
    <row r="21">
      <c r="A21" s="45" t="inlineStr">
        <is>
          <t>NET REVENUE</t>
        </is>
      </c>
      <c r="B21" s="40"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3" t="inlineStr">
        <is>
          <t>Growth</t>
        </is>
      </c>
      <c r="B22" s="14" t="inlineStr">
        <is>
          <t>% YoY</t>
        </is>
      </c>
      <c r="C22" s="47">
        <f>IF(1=1,"",C21/C21-1)</f>
        <v/>
      </c>
      <c r="D22" s="47">
        <f>IF(2=1,"",D21/C21-1)</f>
        <v/>
      </c>
      <c r="E22" s="47">
        <f>IF(3=1,"",E21/D21-1)</f>
        <v/>
      </c>
      <c r="F22" s="47">
        <f>IF(4=1,"",F21/E21-1)</f>
        <v/>
      </c>
      <c r="G22" s="47">
        <f>IF(5=1,"",G21/F21-1)</f>
        <v/>
      </c>
      <c r="H22" s="47">
        <f>IF(6=1,"",H21/G21-1)</f>
        <v/>
      </c>
      <c r="I22" s="47">
        <f>IF(7=1,"",I21/H21-1)</f>
        <v/>
      </c>
      <c r="J22" s="47">
        <f>IF(8=1,"",J21/I21-1)</f>
        <v/>
      </c>
      <c r="K22" s="47">
        <f>IF(9=1,"",K21/J21-1)</f>
        <v/>
      </c>
      <c r="L22" s="47">
        <f>IF(10=1,"",L21/K21-1)</f>
        <v/>
      </c>
    </row>
    <row r="23">
      <c r="A23" s="13" t="inlineStr">
        <is>
          <t>Take rate on GMV</t>
        </is>
      </c>
      <c r="B23" s="14" t="inlineStr">
        <is>
          <t>blended</t>
        </is>
      </c>
      <c r="C23" s="47">
        <f>C21/C15</f>
        <v/>
      </c>
      <c r="D23" s="47">
        <f>D21/D15</f>
        <v/>
      </c>
      <c r="E23" s="47">
        <f>E21/E15</f>
        <v/>
      </c>
      <c r="F23" s="47">
        <f>F21/F15</f>
        <v/>
      </c>
      <c r="G23" s="47">
        <f>G21/G15</f>
        <v/>
      </c>
      <c r="H23" s="47">
        <f>H21/H15</f>
        <v/>
      </c>
      <c r="I23" s="47">
        <f>I21/I15</f>
        <v/>
      </c>
      <c r="J23" s="47">
        <f>J21/J15</f>
        <v/>
      </c>
      <c r="K23" s="47">
        <f>K21/K15</f>
        <v/>
      </c>
      <c r="L23" s="47">
        <f>L21/L15</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 avg ticket</t>
        </is>
      </c>
      <c r="C5" s="17">
        <f>Revenue!C9/Assumptions!C47</f>
        <v/>
      </c>
      <c r="D5" s="17">
        <f>Revenue!D9/Assumptions!D47</f>
        <v/>
      </c>
      <c r="E5" s="17">
        <f>Revenue!E9/Assumptions!E47</f>
        <v/>
      </c>
      <c r="F5" s="17">
        <f>Revenue!F9/Assumptions!F47</f>
        <v/>
      </c>
      <c r="G5" s="17">
        <f>Revenue!G9/Assumptions!G47</f>
        <v/>
      </c>
      <c r="H5" s="17">
        <f>Revenue!H9/Assumptions!H47</f>
        <v/>
      </c>
      <c r="I5" s="17">
        <f>Revenue!I9/Assumptions!I47</f>
        <v/>
      </c>
      <c r="J5" s="17">
        <f>Revenue!J9/Assumptions!J47</f>
        <v/>
      </c>
      <c r="K5" s="17">
        <f>Revenue!K9/Assumptions!K47</f>
        <v/>
      </c>
      <c r="L5" s="17">
        <f>Revenue!L9/Assumptions!L47</f>
        <v/>
      </c>
    </row>
    <row r="6">
      <c r="A6" s="13" t="inlineStr">
        <is>
          <t>Deal transactions</t>
        </is>
      </c>
      <c r="B6" s="14" t="inlineStr">
        <is>
          <t>count</t>
        </is>
      </c>
      <c r="C6" s="17">
        <f>Revenue!C14/Assumptions!C48</f>
        <v/>
      </c>
      <c r="D6" s="17">
        <f>Revenue!D14/Assumptions!D48</f>
        <v/>
      </c>
      <c r="E6" s="17">
        <f>Revenue!E14/Assumptions!E48</f>
        <v/>
      </c>
      <c r="F6" s="17">
        <f>Revenue!F14/Assumptions!F48</f>
        <v/>
      </c>
      <c r="G6" s="17">
        <f>Revenue!G14/Assumptions!G48</f>
        <v/>
      </c>
      <c r="H6" s="17">
        <f>Revenue!H14/Assumptions!H48</f>
        <v/>
      </c>
      <c r="I6" s="17">
        <f>Revenue!I14/Assumptions!I48</f>
        <v/>
      </c>
      <c r="J6" s="17">
        <f>Revenue!J14/Assumptions!J48</f>
        <v/>
      </c>
      <c r="K6" s="17">
        <f>Revenue!K14/Assumptions!K48</f>
        <v/>
      </c>
      <c r="L6" s="17">
        <f>Revenue!L14/Assumptions!L48</f>
        <v/>
      </c>
    </row>
    <row r="7">
      <c r="A7" s="13" t="inlineStr">
        <is>
          <t>Payment processing</t>
        </is>
      </c>
      <c r="B7" s="14" t="inlineStr">
        <is>
          <t>% of GMV + fixed</t>
        </is>
      </c>
      <c r="C7" s="30">
        <f>Revenue!C15*Assumptions!C43+(C5+C6)*Assumptions!C44</f>
        <v/>
      </c>
      <c r="D7" s="30">
        <f>Revenue!D15*Assumptions!D43+(D5+D6)*Assumptions!D44</f>
        <v/>
      </c>
      <c r="E7" s="30">
        <f>Revenue!E15*Assumptions!E43+(E5+E6)*Assumptions!E44</f>
        <v/>
      </c>
      <c r="F7" s="30">
        <f>Revenue!F15*Assumptions!F43+(F5+F6)*Assumptions!F44</f>
        <v/>
      </c>
      <c r="G7" s="30">
        <f>Revenue!G15*Assumptions!G43+(G5+G6)*Assumptions!G44</f>
        <v/>
      </c>
      <c r="H7" s="30">
        <f>Revenue!H15*Assumptions!H43+(H5+H6)*Assumptions!H44</f>
        <v/>
      </c>
      <c r="I7" s="30">
        <f>Revenue!I15*Assumptions!I43+(I5+I6)*Assumptions!I44</f>
        <v/>
      </c>
      <c r="J7" s="30">
        <f>Revenue!J15*Assumptions!J43+(J5+J6)*Assumptions!J44</f>
        <v/>
      </c>
      <c r="K7" s="30">
        <f>Revenue!K15*Assumptions!K43+(K5+K6)*Assumptions!K44</f>
        <v/>
      </c>
      <c r="L7" s="30">
        <f>Revenue!L15*Assumptions!L43+(L5+L6)*Assumptions!L44</f>
        <v/>
      </c>
    </row>
    <row r="8">
      <c r="A8" s="13" t="inlineStr">
        <is>
          <t>Payouts to athletes</t>
        </is>
      </c>
      <c r="B8" s="14" t="inlineStr">
        <is>
          <t>% + fixed</t>
        </is>
      </c>
      <c r="C8" s="30">
        <f>Revenue!C15*Assumptions!C45+(C5/30+C6)*Assumptions!C46</f>
        <v/>
      </c>
      <c r="D8" s="30">
        <f>Revenue!D15*Assumptions!D45+(D5/30+D6)*Assumptions!D46</f>
        <v/>
      </c>
      <c r="E8" s="30">
        <f>Revenue!E15*Assumptions!E45+(E5/30+E6)*Assumptions!E46</f>
        <v/>
      </c>
      <c r="F8" s="30">
        <f>Revenue!F15*Assumptions!F45+(F5/30+F6)*Assumptions!F46</f>
        <v/>
      </c>
      <c r="G8" s="30">
        <f>Revenue!G15*Assumptions!G45+(G5/30+G6)*Assumptions!G46</f>
        <v/>
      </c>
      <c r="H8" s="30">
        <f>Revenue!H15*Assumptions!H45+(H5/30+H6)*Assumptions!H46</f>
        <v/>
      </c>
      <c r="I8" s="30">
        <f>Revenue!I15*Assumptions!I45+(I5/30+I6)*Assumptions!I46</f>
        <v/>
      </c>
      <c r="J8" s="30">
        <f>Revenue!J15*Assumptions!J45+(J5/30+J6)*Assumptions!J46</f>
        <v/>
      </c>
      <c r="K8" s="30">
        <f>Revenue!K15*Assumptions!K45+(K5/30+K6)*Assumptions!K46</f>
        <v/>
      </c>
      <c r="L8" s="30">
        <f>Revenue!L15*Assumptions!L45+(L5/30+L6)*Assumptions!L46</f>
        <v/>
      </c>
    </row>
    <row r="9">
      <c r="A9" s="13" t="inlineStr">
        <is>
          <t>Media egress GB</t>
        </is>
      </c>
      <c r="B9" s="14" t="inlineStr">
        <is>
          <t>GB/yr</t>
        </is>
      </c>
      <c r="C9" s="17">
        <f>Drivers!C37*Assumptions!C52*12</f>
        <v/>
      </c>
      <c r="D9" s="17">
        <f>Drivers!D37*Assumptions!D52*12</f>
        <v/>
      </c>
      <c r="E9" s="17">
        <f>Drivers!E37*Assumptions!E52*12</f>
        <v/>
      </c>
      <c r="F9" s="17">
        <f>Drivers!F37*Assumptions!F52*12</f>
        <v/>
      </c>
      <c r="G9" s="17">
        <f>Drivers!G37*Assumptions!G52*12</f>
        <v/>
      </c>
      <c r="H9" s="17">
        <f>Drivers!H37*Assumptions!H52*12</f>
        <v/>
      </c>
      <c r="I9" s="17">
        <f>Drivers!I37*Assumptions!I52*12</f>
        <v/>
      </c>
      <c r="J9" s="17">
        <f>Drivers!J37*Assumptions!J52*12</f>
        <v/>
      </c>
      <c r="K9" s="17">
        <f>Drivers!K37*Assumptions!K52*12</f>
        <v/>
      </c>
      <c r="L9" s="17">
        <f>Drivers!L37*Assumptions!L52*12</f>
        <v/>
      </c>
    </row>
    <row r="10">
      <c r="A10" s="13" t="inlineStr">
        <is>
          <t>Infrastructure (AWS + CDN)</t>
        </is>
      </c>
      <c r="B10" s="14" t="inlineStr">
        <is>
          <t>base + egress</t>
        </is>
      </c>
      <c r="C10" s="30">
        <f>Assumptions!C51*12+C9*Assumptions!C53</f>
        <v/>
      </c>
      <c r="D10" s="30">
        <f>Assumptions!D51*12+D9*Assumptions!D53</f>
        <v/>
      </c>
      <c r="E10" s="30">
        <f>Assumptions!E51*12+E9*Assumptions!E53</f>
        <v/>
      </c>
      <c r="F10" s="30">
        <f>Assumptions!F51*12+F9*Assumptions!F53</f>
        <v/>
      </c>
      <c r="G10" s="30">
        <f>Assumptions!G51*12+G9*Assumptions!G53</f>
        <v/>
      </c>
      <c r="H10" s="30">
        <f>Assumptions!H51*12+H9*Assumptions!H53</f>
        <v/>
      </c>
      <c r="I10" s="30">
        <f>Assumptions!I51*12+I9*Assumptions!I53</f>
        <v/>
      </c>
      <c r="J10" s="30">
        <f>Assumptions!J51*12+J9*Assumptions!J53</f>
        <v/>
      </c>
      <c r="K10" s="30">
        <f>Assumptions!K51*12+K9*Assumptions!K53</f>
        <v/>
      </c>
      <c r="L10" s="30">
        <f>Assumptions!L51*12+L9*Assumptions!L53</f>
        <v/>
      </c>
    </row>
    <row r="11">
      <c r="A11" s="13" t="inlineStr">
        <is>
          <t xml:space="preserve">  memo: same egress at CloudFront list</t>
        </is>
      </c>
      <c r="B11" s="14" t="inlineStr">
        <is>
          <t>the trap</t>
        </is>
      </c>
      <c r="C11" s="30">
        <f>Assumptions!C51*12+C9*Assumptions!C54</f>
        <v/>
      </c>
      <c r="D11" s="30">
        <f>Assumptions!D51*12+D9*Assumptions!D54</f>
        <v/>
      </c>
      <c r="E11" s="30">
        <f>Assumptions!E51*12+E9*Assumptions!E54</f>
        <v/>
      </c>
      <c r="F11" s="30">
        <f>Assumptions!F51*12+F9*Assumptions!F54</f>
        <v/>
      </c>
      <c r="G11" s="30">
        <f>Assumptions!G51*12+G9*Assumptions!G54</f>
        <v/>
      </c>
      <c r="H11" s="30">
        <f>Assumptions!H51*12+H9*Assumptions!H54</f>
        <v/>
      </c>
      <c r="I11" s="30">
        <f>Assumptions!I51*12+I9*Assumptions!I54</f>
        <v/>
      </c>
      <c r="J11" s="30">
        <f>Assumptions!J51*12+J9*Assumptions!J54</f>
        <v/>
      </c>
      <c r="K11" s="30">
        <f>Assumptions!K51*12+K9*Assumptions!K54</f>
        <v/>
      </c>
      <c r="L11" s="30">
        <f>Assumptions!L51*12+L9*Assumptions!L54</f>
        <v/>
      </c>
    </row>
    <row r="12">
      <c r="A12" s="13" t="inlineStr">
        <is>
          <t>Moderation</t>
        </is>
      </c>
      <c r="B12" s="14" t="inlineStr">
        <is>
          <t>items x rate</t>
        </is>
      </c>
      <c r="C12" s="30">
        <f>Drivers!C5*Assumptions!C56*12/1000*Assumptions!C55</f>
        <v/>
      </c>
      <c r="D12" s="30">
        <f>Drivers!D5*Assumptions!D56*12/1000*Assumptions!D55</f>
        <v/>
      </c>
      <c r="E12" s="30">
        <f>Drivers!E5*Assumptions!E56*12/1000*Assumptions!E55</f>
        <v/>
      </c>
      <c r="F12" s="30">
        <f>Drivers!F5*Assumptions!F56*12/1000*Assumptions!F55</f>
        <v/>
      </c>
      <c r="G12" s="30">
        <f>Drivers!G5*Assumptions!G56*12/1000*Assumptions!G55</f>
        <v/>
      </c>
      <c r="H12" s="30">
        <f>Drivers!H5*Assumptions!H56*12/1000*Assumptions!H55</f>
        <v/>
      </c>
      <c r="I12" s="30">
        <f>Drivers!I5*Assumptions!I56*12/1000*Assumptions!I55</f>
        <v/>
      </c>
      <c r="J12" s="30">
        <f>Drivers!J5*Assumptions!J56*12/1000*Assumptions!J55</f>
        <v/>
      </c>
      <c r="K12" s="30">
        <f>Drivers!K5*Assumptions!K56*12/1000*Assumptions!K55</f>
        <v/>
      </c>
      <c r="L12" s="30">
        <f>Drivers!L5*Assumptions!L56*12/1000*Assumptions!L55</f>
        <v/>
      </c>
    </row>
    <row r="13">
      <c r="A13" s="13" t="inlineStr">
        <is>
          <t>Athlete verification</t>
        </is>
      </c>
      <c r="B13" s="14" t="inlineStr">
        <is>
          <t>reviews x minutes x hourly</t>
        </is>
      </c>
      <c r="C13" s="30">
        <f>Drivers!C53*Assumptions!C80/60*(Assumptions!C60/Assumptions!C81)</f>
        <v/>
      </c>
      <c r="D13" s="30">
        <f>Drivers!D53*Assumptions!D80/60*(Assumptions!D60/Assumptions!D81)</f>
        <v/>
      </c>
      <c r="E13" s="30">
        <f>Drivers!E53*Assumptions!E80/60*(Assumptions!E60/Assumptions!E81)</f>
        <v/>
      </c>
      <c r="F13" s="30">
        <f>Drivers!F53*Assumptions!F80/60*(Assumptions!F60/Assumptions!F81)</f>
        <v/>
      </c>
      <c r="G13" s="30">
        <f>Drivers!G53*Assumptions!G80/60*(Assumptions!G60/Assumptions!G81)</f>
        <v/>
      </c>
      <c r="H13" s="30">
        <f>Drivers!H53*Assumptions!H80/60*(Assumptions!H60/Assumptions!H81)</f>
        <v/>
      </c>
      <c r="I13" s="30">
        <f>Drivers!I53*Assumptions!I80/60*(Assumptions!I60/Assumptions!I81)</f>
        <v/>
      </c>
      <c r="J13" s="30">
        <f>Drivers!J53*Assumptions!J80/60*(Assumptions!J60/Assumptions!J81)</f>
        <v/>
      </c>
      <c r="K13" s="30">
        <f>Drivers!K53*Assumptions!K80/60*(Assumptions!K60/Assumptions!K81)</f>
        <v/>
      </c>
      <c r="L13" s="30">
        <f>Drivers!L53*Assumptions!L80/60*(Assumptions!L60/Assumptions!L81)</f>
        <v/>
      </c>
    </row>
    <row r="14">
      <c r="A14" s="45" t="inlineStr">
        <is>
          <t>TOTAL COST OF SALES</t>
        </is>
      </c>
      <c r="B14" s="40" t="inlineStr"/>
      <c r="C14" s="46">
        <f>C7+C8+C10+C12+C13</f>
        <v/>
      </c>
      <c r="D14" s="46">
        <f>D7+D8+D10+D12+D13</f>
        <v/>
      </c>
      <c r="E14" s="46">
        <f>E7+E8+E10+E12+E13</f>
        <v/>
      </c>
      <c r="F14" s="46">
        <f>F7+F8+F10+F12+F13</f>
        <v/>
      </c>
      <c r="G14" s="46">
        <f>G7+G8+G10+G12+G13</f>
        <v/>
      </c>
      <c r="H14" s="46">
        <f>H7+H8+H10+H12+H13</f>
        <v/>
      </c>
      <c r="I14" s="46">
        <f>I7+I8+I10+I12+I13</f>
        <v/>
      </c>
      <c r="J14" s="46">
        <f>J7+J8+J10+J12+J13</f>
        <v/>
      </c>
      <c r="K14" s="46">
        <f>K7+K8+K10+K12+K13</f>
        <v/>
      </c>
      <c r="L14" s="46">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Assumptions!C59*Assumptions!C60</f>
        <v/>
      </c>
      <c r="D17" s="30">
        <f>Assumptions!D59*Assumptions!D60</f>
        <v/>
      </c>
      <c r="E17" s="30">
        <f>Assumptions!E59*Assumptions!E60</f>
        <v/>
      </c>
      <c r="F17" s="30">
        <f>Assumptions!F59*Assumptions!F60</f>
        <v/>
      </c>
      <c r="G17" s="30">
        <f>Assumptions!G59*Assumptions!G60</f>
        <v/>
      </c>
      <c r="H17" s="30">
        <f>Assumptions!H59*Assumptions!H60</f>
        <v/>
      </c>
      <c r="I17" s="30">
        <f>Assumptions!I59*Assumptions!I60</f>
        <v/>
      </c>
      <c r="J17" s="30">
        <f>Assumptions!J59*Assumptions!J60</f>
        <v/>
      </c>
      <c r="K17" s="30">
        <f>Assumptions!K59*Assumptions!K60</f>
        <v/>
      </c>
      <c r="L17" s="30">
        <f>Assumptions!L59*Assumptions!L60</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Drivers!C24*Assumptions!C31</f>
        <v/>
      </c>
      <c r="D19" s="30">
        <f>Drivers!D24*Assumptions!D31</f>
        <v/>
      </c>
      <c r="E19" s="30">
        <f>Drivers!E24*Assumptions!E31</f>
        <v/>
      </c>
      <c r="F19" s="30">
        <f>Drivers!F24*Assumptions!F31</f>
        <v/>
      </c>
      <c r="G19" s="30">
        <f>Drivers!G24*Assumptions!G31</f>
        <v/>
      </c>
      <c r="H19" s="30">
        <f>Drivers!H24*Assumptions!H31</f>
        <v/>
      </c>
      <c r="I19" s="30">
        <f>Drivers!I24*Assumptions!I31</f>
        <v/>
      </c>
      <c r="J19" s="30">
        <f>Drivers!J24*Assumptions!J31</f>
        <v/>
      </c>
      <c r="K19" s="30">
        <f>Drivers!K24*Assumptions!K31</f>
        <v/>
      </c>
      <c r="L19" s="30">
        <f>Drivers!L24*Assumptions!L31</f>
        <v/>
      </c>
    </row>
    <row r="20">
      <c r="A20" s="13" t="inlineStr">
        <is>
          <t>Sponsor acquisition</t>
        </is>
      </c>
      <c r="B20" s="14" t="inlineStr"/>
      <c r="C20" s="30">
        <f>Drivers!C47*Assumptions!C37</f>
        <v/>
      </c>
      <c r="D20" s="30">
        <f>Drivers!D47*Assumptions!D37</f>
        <v/>
      </c>
      <c r="E20" s="30">
        <f>Drivers!E47*Assumptions!E37</f>
        <v/>
      </c>
      <c r="F20" s="30">
        <f>Drivers!F47*Assumptions!F37</f>
        <v/>
      </c>
      <c r="G20" s="30">
        <f>Drivers!G47*Assumptions!G37</f>
        <v/>
      </c>
      <c r="H20" s="30">
        <f>Drivers!H47*Assumptions!H37</f>
        <v/>
      </c>
      <c r="I20" s="30">
        <f>Drivers!I47*Assumptions!I37</f>
        <v/>
      </c>
      <c r="J20" s="30">
        <f>Drivers!J47*Assumptions!J37</f>
        <v/>
      </c>
      <c r="K20" s="30">
        <f>Drivers!K47*Assumptions!K37</f>
        <v/>
      </c>
      <c r="L20" s="30">
        <f>Drivers!L47*Assumptions!L37</f>
        <v/>
      </c>
    </row>
    <row r="21">
      <c r="A21" s="39" t="inlineStr">
        <is>
          <t>Total marketing / CAC</t>
        </is>
      </c>
      <c r="B21" s="40" t="inlineStr"/>
      <c r="C21" s="44">
        <f>SUM(C18:C20)</f>
        <v/>
      </c>
      <c r="D21" s="44">
        <f>SUM(D18:D20)</f>
        <v/>
      </c>
      <c r="E21" s="44">
        <f>SUM(E18:E20)</f>
        <v/>
      </c>
      <c r="F21" s="44">
        <f>SUM(F18:F20)</f>
        <v/>
      </c>
      <c r="G21" s="44">
        <f>SUM(G18:G20)</f>
        <v/>
      </c>
      <c r="H21" s="44">
        <f>SUM(H18:H20)</f>
        <v/>
      </c>
      <c r="I21" s="44">
        <f>SUM(I18:I20)</f>
        <v/>
      </c>
      <c r="J21" s="44">
        <f>SUM(J18:J20)</f>
        <v/>
      </c>
      <c r="K21" s="44">
        <f>SUM(K18:K20)</f>
        <v/>
      </c>
      <c r="L21" s="44">
        <f>SUM(L18:L20)</f>
        <v/>
      </c>
    </row>
    <row r="22">
      <c r="A22" s="13" t="inlineStr">
        <is>
          <t xml:space="preserve">  memo: athlete marketing per application</t>
        </is>
      </c>
      <c r="B22" s="14" t="inlineStr">
        <is>
          <t>CAC is per ADMITTED athlete</t>
        </is>
      </c>
      <c r="C22" s="29">
        <f>(C18+C19)/Drivers!C52</f>
        <v/>
      </c>
      <c r="D22" s="29">
        <f>(D18+D19)/Drivers!D52</f>
        <v/>
      </c>
      <c r="E22" s="29">
        <f>(E18+E19)/Drivers!E52</f>
        <v/>
      </c>
      <c r="F22" s="29">
        <f>(F18+F19)/Drivers!F52</f>
        <v/>
      </c>
      <c r="G22" s="29">
        <f>(G18+G19)/Drivers!G52</f>
        <v/>
      </c>
      <c r="H22" s="29">
        <f>(H18+H19)/Drivers!H52</f>
        <v/>
      </c>
      <c r="I22" s="29">
        <f>(I18+I19)/Drivers!I52</f>
        <v/>
      </c>
      <c r="J22" s="29">
        <f>(J18+J19)/Drivers!J52</f>
        <v/>
      </c>
      <c r="K22" s="29">
        <f>(K18+K19)/Drivers!K52</f>
        <v/>
      </c>
      <c r="L22" s="29">
        <f>(L18+L19)/Drivers!L52</f>
        <v/>
      </c>
    </row>
    <row r="23">
      <c r="A23" s="13" t="inlineStr">
        <is>
          <t>Legal &amp; compliance</t>
        </is>
      </c>
      <c r="B23" s="14" t="inlineStr"/>
      <c r="C23" s="30">
        <f>Assumptions!C61</f>
        <v/>
      </c>
      <c r="D23" s="30">
        <f>Assumptions!D61</f>
        <v/>
      </c>
      <c r="E23" s="30">
        <f>Assumptions!E61</f>
        <v/>
      </c>
      <c r="F23" s="30">
        <f>Assumptions!F61</f>
        <v/>
      </c>
      <c r="G23" s="30">
        <f>Assumptions!G61</f>
        <v/>
      </c>
      <c r="H23" s="30">
        <f>Assumptions!H61</f>
        <v/>
      </c>
      <c r="I23" s="30">
        <f>Assumptions!I61</f>
        <v/>
      </c>
      <c r="J23" s="30">
        <f>Assumptions!J61</f>
        <v/>
      </c>
      <c r="K23" s="30">
        <f>Assumptions!K61</f>
        <v/>
      </c>
      <c r="L23" s="30">
        <f>Assumptions!L61</f>
        <v/>
      </c>
    </row>
    <row r="24">
      <c r="A24" s="13" t="inlineStr">
        <is>
          <t>Other opex</t>
        </is>
      </c>
      <c r="B24" s="14" t="inlineStr">
        <is>
          <t>% of revenue</t>
        </is>
      </c>
      <c r="C24" s="30">
        <f>Revenue!C21*Assumptions!C62</f>
        <v/>
      </c>
      <c r="D24" s="30">
        <f>Revenue!D21*Assumptions!D62</f>
        <v/>
      </c>
      <c r="E24" s="30">
        <f>Revenue!E21*Assumptions!E62</f>
        <v/>
      </c>
      <c r="F24" s="30">
        <f>Revenue!F21*Assumptions!F62</f>
        <v/>
      </c>
      <c r="G24" s="30">
        <f>Revenue!G21*Assumptions!G62</f>
        <v/>
      </c>
      <c r="H24" s="30">
        <f>Revenue!H21*Assumptions!H62</f>
        <v/>
      </c>
      <c r="I24" s="30">
        <f>Revenue!I21*Assumptions!I62</f>
        <v/>
      </c>
      <c r="J24" s="30">
        <f>Revenue!J21*Assumptions!J62</f>
        <v/>
      </c>
      <c r="K24" s="30">
        <f>Revenue!K21*Assumptions!K62</f>
        <v/>
      </c>
      <c r="L24" s="30">
        <f>Revenue!L21*Assumptions!L62</f>
        <v/>
      </c>
    </row>
    <row r="25">
      <c r="A25" s="45" t="inlineStr">
        <is>
          <t>TOTAL OPERATING COSTS</t>
        </is>
      </c>
      <c r="B25" s="40" t="inlineStr"/>
      <c r="C25" s="46">
        <f>C17+C21+C23+C24</f>
        <v/>
      </c>
      <c r="D25" s="46">
        <f>D17+D21+D23+D24</f>
        <v/>
      </c>
      <c r="E25" s="46">
        <f>E17+E21+E23+E24</f>
        <v/>
      </c>
      <c r="F25" s="46">
        <f>F17+F21+F23+F24</f>
        <v/>
      </c>
      <c r="G25" s="46">
        <f>G17+G21+G23+G24</f>
        <v/>
      </c>
      <c r="H25" s="46">
        <f>H17+H21+H23+H24</f>
        <v/>
      </c>
      <c r="I25" s="46">
        <f>I17+I21+I23+I24</f>
        <v/>
      </c>
      <c r="J25" s="46">
        <f>J17+J21+J23+J24</f>
        <v/>
      </c>
      <c r="K25" s="46">
        <f>K17+K21+K23+K24</f>
        <v/>
      </c>
      <c r="L25" s="46">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(Revenue!C19+Revenue!C20)*Assumptions!C66/365</f>
        <v/>
      </c>
      <c r="D5" s="30">
        <f>(Revenue!D19+Revenue!D20)*Assumptions!D66/365</f>
        <v/>
      </c>
      <c r="E5" s="30">
        <f>(Revenue!E19+Revenue!E20)*Assumptions!E66/365</f>
        <v/>
      </c>
      <c r="F5" s="30">
        <f>(Revenue!F19+Revenue!F20)*Assumptions!F66/365</f>
        <v/>
      </c>
      <c r="G5" s="30">
        <f>(Revenue!G19+Revenue!G20)*Assumptions!G66/365</f>
        <v/>
      </c>
      <c r="H5" s="30">
        <f>(Revenue!H19+Revenue!H20)*Assumptions!H66/365</f>
        <v/>
      </c>
      <c r="I5" s="30">
        <f>(Revenue!I19+Revenue!I20)*Assumptions!I66/365</f>
        <v/>
      </c>
      <c r="J5" s="30">
        <f>(Revenue!J19+Revenue!J20)*Assumptions!J66/365</f>
        <v/>
      </c>
      <c r="K5" s="30">
        <f>(Revenue!K19+Revenue!K20)*Assumptions!K66/365</f>
        <v/>
      </c>
      <c r="L5" s="30">
        <f>(Revenue!L19+Revenue!L20)*Assumptions!L66/365</f>
        <v/>
      </c>
    </row>
    <row r="6">
      <c r="A6" s="13" t="inlineStr">
        <is>
          <t>Athlete payout float</t>
        </is>
      </c>
      <c r="B6" s="14" t="inlineStr">
        <is>
          <t>GMV owed, not yet paid</t>
        </is>
      </c>
      <c r="C6" s="30">
        <f>Revenue!C15*Assumptions!C65/365</f>
        <v/>
      </c>
      <c r="D6" s="30">
        <f>Revenue!D15*Assumptions!D65/365</f>
        <v/>
      </c>
      <c r="E6" s="30">
        <f>Revenue!E15*Assumptions!E65/365</f>
        <v/>
      </c>
      <c r="F6" s="30">
        <f>Revenue!F15*Assumptions!F65/365</f>
        <v/>
      </c>
      <c r="G6" s="30">
        <f>Revenue!G15*Assumptions!G65/365</f>
        <v/>
      </c>
      <c r="H6" s="30">
        <f>Revenue!H15*Assumptions!H65/365</f>
        <v/>
      </c>
      <c r="I6" s="30">
        <f>Revenue!I15*Assumptions!I65/365</f>
        <v/>
      </c>
      <c r="J6" s="30">
        <f>Revenue!J15*Assumptions!J65/365</f>
        <v/>
      </c>
      <c r="K6" s="30">
        <f>Revenue!K15*Assumptions!K65/365</f>
        <v/>
      </c>
      <c r="L6" s="30">
        <f>Revenue!L15*Assumptions!L65/365</f>
        <v/>
      </c>
    </row>
    <row r="7">
      <c r="A7" s="13" t="inlineStr">
        <is>
          <t>Trade payables</t>
        </is>
      </c>
      <c r="B7" s="14" t="inlineStr">
        <is>
          <t>opex x AP days/365</t>
        </is>
      </c>
      <c r="C7" s="30">
        <f>Costs!C25*Assumptions!C67/365</f>
        <v/>
      </c>
      <c r="D7" s="30">
        <f>Costs!D25*Assumptions!D67/365</f>
        <v/>
      </c>
      <c r="E7" s="30">
        <f>Costs!E25*Assumptions!E67/365</f>
        <v/>
      </c>
      <c r="F7" s="30">
        <f>Costs!F25*Assumptions!F67/365</f>
        <v/>
      </c>
      <c r="G7" s="30">
        <f>Costs!G25*Assumptions!G67/365</f>
        <v/>
      </c>
      <c r="H7" s="30">
        <f>Costs!H25*Assumptions!H67/365</f>
        <v/>
      </c>
      <c r="I7" s="30">
        <f>Costs!I25*Assumptions!I67/365</f>
        <v/>
      </c>
      <c r="J7" s="30">
        <f>Costs!J25*Assumptions!J67/365</f>
        <v/>
      </c>
      <c r="K7" s="30">
        <f>Costs!K25*Assumptions!K67/365</f>
        <v/>
      </c>
      <c r="L7" s="30">
        <f>Costs!L25*Assumptions!L67/365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Costs!C17*Assumptions!C68</f>
        <v/>
      </c>
      <c r="D12" s="30">
        <f>Costs!D17*Assumptions!D68</f>
        <v/>
      </c>
      <c r="E12" s="30">
        <f>Costs!E17*Assumptions!E68</f>
        <v/>
      </c>
      <c r="F12" s="30">
        <f>Costs!F17*Assumptions!F68</f>
        <v/>
      </c>
      <c r="G12" s="30">
        <f>Costs!G17*Assumptions!G68</f>
        <v/>
      </c>
      <c r="H12" s="30">
        <f>Costs!H17*Assumptions!H68</f>
        <v/>
      </c>
      <c r="I12" s="30">
        <f>Costs!I17*Assumptions!I68</f>
        <v/>
      </c>
      <c r="J12" s="30">
        <f>Costs!J17*Assumptions!J68</f>
        <v/>
      </c>
      <c r="K12" s="30">
        <f>Costs!K17*Assumptions!K68</f>
        <v/>
      </c>
      <c r="L12" s="30">
        <f>Costs!L17*Assumptions!L68</f>
        <v/>
      </c>
    </row>
    <row r="13">
      <c r="A13" s="13" t="inlineStr">
        <is>
          <t>Amortisation</t>
        </is>
      </c>
      <c r="B13" s="14" t="inlineStr">
        <is>
          <t>3-yr straight line on trailing capex</t>
        </is>
      </c>
      <c r="C13" s="30">
        <f>SUM(OFFSET(C12,0,-MIN(Assumptions!C69-1,1-1),1,MIN(Assumptions!C69,1)))/Assumptions!C69</f>
        <v/>
      </c>
      <c r="D13" s="30">
        <f>SUM(OFFSET(D12,0,-MIN(Assumptions!D69-1,2-1),1,MIN(Assumptions!D69,2)))/Assumptions!D69</f>
        <v/>
      </c>
      <c r="E13" s="30">
        <f>SUM(OFFSET(E12,0,-MIN(Assumptions!E69-1,3-1),1,MIN(Assumptions!E69,3)))/Assumptions!E69</f>
        <v/>
      </c>
      <c r="F13" s="30">
        <f>SUM(OFFSET(F12,0,-MIN(Assumptions!F69-1,4-1),1,MIN(Assumptions!F69,4)))/Assumptions!F69</f>
        <v/>
      </c>
      <c r="G13" s="30">
        <f>SUM(OFFSET(G12,0,-MIN(Assumptions!G69-1,5-1),1,MIN(Assumptions!G69,5)))/Assumptions!G69</f>
        <v/>
      </c>
      <c r="H13" s="30">
        <f>SUM(OFFSET(H12,0,-MIN(Assumptions!H69-1,6-1),1,MIN(Assumptions!H69,6)))/Assumptions!H69</f>
        <v/>
      </c>
      <c r="I13" s="30">
        <f>SUM(OFFSET(I12,0,-MIN(Assumptions!I69-1,7-1),1,MIN(Assumptions!I69,7)))/Assumptions!I69</f>
        <v/>
      </c>
      <c r="J13" s="30">
        <f>SUM(OFFSET(J12,0,-MIN(Assumptions!J69-1,8-1),1,MIN(Assumptions!J69,8)))/Assumptions!J69</f>
        <v/>
      </c>
      <c r="K13" s="30">
        <f>SUM(OFFSET(K12,0,-MIN(Assumptions!K69-1,9-1),1,MIN(Assumptions!K69,9)))/Assumptions!K69</f>
        <v/>
      </c>
      <c r="L13" s="30">
        <f>SUM(OFFSET(L12,0,-MIN(Assumptions!L69-1,10-1),1,MIN(Assumptions!L69,10)))/Assumptions!L69</f>
        <v/>
      </c>
    </row>
    <row r="14">
      <c r="A14" s="13" t="inlineStr">
        <is>
          <t>Net intangible assets</t>
        </is>
      </c>
      <c r="B14" s="14" t="inlineStr">
        <is>
          <t>closing</t>
        </is>
      </c>
      <c r="C14" s="48">
        <f>C12-C13</f>
        <v/>
      </c>
      <c r="D14" s="48">
        <f>C14+D12-D13</f>
        <v/>
      </c>
      <c r="E14" s="48">
        <f>D14+E12-E13</f>
        <v/>
      </c>
      <c r="F14" s="48">
        <f>E14+F12-F13</f>
        <v/>
      </c>
      <c r="G14" s="48">
        <f>F14+G12-G13</f>
        <v/>
      </c>
      <c r="H14" s="48">
        <f>G14+H12-H13</f>
        <v/>
      </c>
      <c r="I14" s="48">
        <f>H14+I12-I13</f>
        <v/>
      </c>
      <c r="J14" s="48">
        <f>I14+J12-J13</f>
        <v/>
      </c>
      <c r="K14" s="48">
        <f>J14+K12-K13</f>
        <v/>
      </c>
      <c r="L14" s="48">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Revenue!C21</f>
        <v/>
      </c>
      <c r="D4" s="49">
        <f>Revenue!D21</f>
        <v/>
      </c>
      <c r="E4" s="49">
        <f>Revenue!E21</f>
        <v/>
      </c>
      <c r="F4" s="49">
        <f>Revenue!F21</f>
        <v/>
      </c>
      <c r="G4" s="49">
        <f>Revenue!G21</f>
        <v/>
      </c>
      <c r="H4" s="49">
        <f>Revenue!H21</f>
        <v/>
      </c>
      <c r="I4" s="49">
        <f>Revenue!I21</f>
        <v/>
      </c>
      <c r="J4" s="49">
        <f>Revenue!J21</f>
        <v/>
      </c>
      <c r="K4" s="49">
        <f>Revenue!K21</f>
        <v/>
      </c>
      <c r="L4" s="49">
        <f>Revenue!L21</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f>
        <v/>
      </c>
      <c r="D18" s="48">
        <f>MIN(0,D13+C18)</f>
        <v/>
      </c>
      <c r="E18" s="48">
        <f>MIN(0,E13+D18)</f>
        <v/>
      </c>
      <c r="F18" s="48">
        <f>MIN(0,F13+E18)</f>
        <v/>
      </c>
      <c r="G18" s="48">
        <f>MIN(0,G13+F18)</f>
        <v/>
      </c>
      <c r="H18" s="48">
        <f>MIN(0,H13+G18)</f>
        <v/>
      </c>
      <c r="I18" s="48">
        <f>MIN(0,I13+H18)</f>
        <v/>
      </c>
      <c r="J18" s="48">
        <f>MIN(0,J13+I18)</f>
        <v/>
      </c>
      <c r="K18" s="48">
        <f>MIN(0,K13+J18)</f>
        <v/>
      </c>
      <c r="L18" s="48">
        <f>MIN(0,L13+K18)</f>
        <v/>
      </c>
    </row>
    <row r="19">
      <c r="A19" s="13" t="inlineStr">
        <is>
          <t>Applicable tax rate</t>
        </is>
      </c>
      <c r="B19" s="14" t="inlineStr">
        <is>
          <t>15% then 25%</t>
        </is>
      </c>
      <c r="C19" s="23">
        <f>IF(C17&lt;=0,0,IF(COUNTIF($C17:C17,"&gt;0")&lt;=Assumptions!C72,Assumptions!C70,Assumptions!C71))</f>
        <v/>
      </c>
      <c r="D19" s="23">
        <f>IF(D17&lt;=0,0,IF(COUNTIF($C17:D17,"&gt;0")&lt;=Assumptions!D72,Assumptions!D70,Assumptions!D71))</f>
        <v/>
      </c>
      <c r="E19" s="23">
        <f>IF(E17&lt;=0,0,IF(COUNTIF($C17:E17,"&gt;0")&lt;=Assumptions!E72,Assumptions!E70,Assumptions!E71))</f>
        <v/>
      </c>
      <c r="F19" s="23">
        <f>IF(F17&lt;=0,0,IF(COUNTIF($C17:F17,"&gt;0")&lt;=Assumptions!F72,Assumptions!F70,Assumptions!F71))</f>
        <v/>
      </c>
      <c r="G19" s="23">
        <f>IF(G17&lt;=0,0,IF(COUNTIF($C17:G17,"&gt;0")&lt;=Assumptions!G72,Assumptions!G70,Assumptions!G71))</f>
        <v/>
      </c>
      <c r="H19" s="23">
        <f>IF(H17&lt;=0,0,IF(COUNTIF($C17:H17,"&gt;0")&lt;=Assumptions!H72,Assumptions!H70,Assumptions!H71))</f>
        <v/>
      </c>
      <c r="I19" s="23">
        <f>IF(I17&lt;=0,0,IF(COUNTIF($C17:I17,"&gt;0")&lt;=Assumptions!I72,Assumptions!I70,Assumptions!I71))</f>
        <v/>
      </c>
      <c r="J19" s="23">
        <f>IF(J17&lt;=0,0,IF(COUNTIF($C17:J17,"&gt;0")&lt;=Assumptions!J72,Assumptions!J70,Assumptions!J71))</f>
        <v/>
      </c>
      <c r="K19" s="23">
        <f>IF(K17&lt;=0,0,IF(COUNTIF($C17:K17,"&gt;0")&lt;=Assumptions!K72,Assumptions!K70,Assumptions!K71))</f>
        <v/>
      </c>
      <c r="L19" s="23">
        <f>IF(L17&lt;=0,0,IF(COUNTIF($C17:L17,"&gt;0")&lt;=Assumptions!L72,Assumptions!L70,Assumptions!L71))</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C9</f>
        <v/>
      </c>
      <c r="D10" s="48">
        <f>C10+D9</f>
        <v/>
      </c>
      <c r="E10" s="48">
        <f>D10+E9</f>
        <v/>
      </c>
      <c r="F10" s="48">
        <f>E10+F9</f>
        <v/>
      </c>
      <c r="G10" s="48">
        <f>F10+G9</f>
        <v/>
      </c>
      <c r="H10" s="48">
        <f>G10+H9</f>
        <v/>
      </c>
      <c r="I10" s="48">
        <f>H10+I9</f>
        <v/>
      </c>
      <c r="J10" s="48">
        <f>I10+J9</f>
        <v/>
      </c>
      <c r="K10" s="48">
        <f>J10+K9</f>
        <v/>
      </c>
      <c r="L10" s="48">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8">
        <f>0</f>
        <v/>
      </c>
      <c r="D13" s="48">
        <f>C14</f>
        <v/>
      </c>
      <c r="E13" s="48">
        <f>D14</f>
        <v/>
      </c>
      <c r="F13" s="48">
        <f>E14</f>
        <v/>
      </c>
      <c r="G13" s="48">
        <f>F14</f>
        <v/>
      </c>
      <c r="H13" s="48">
        <f>G14</f>
        <v/>
      </c>
      <c r="I13" s="48">
        <f>H14</f>
        <v/>
      </c>
      <c r="J13" s="48">
        <f>I14</f>
        <v/>
      </c>
      <c r="K13" s="48">
        <f>J14</f>
        <v/>
      </c>
      <c r="L13" s="48">
        <f>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400000</v>
      </c>
      <c r="D4" s="22" t="n">
        <v>0</v>
      </c>
      <c r="E4" s="22" t="n">
        <v>2000000</v>
      </c>
      <c r="F4" s="22" t="n">
        <v>0</v>
      </c>
      <c r="G4" s="22" t="n">
        <v>8000000</v>
      </c>
      <c r="H4" s="22" t="n">
        <v>0</v>
      </c>
      <c r="I4" s="22" t="n">
        <v>0</v>
      </c>
      <c r="J4" s="22" t="n">
        <v>0</v>
      </c>
      <c r="K4" s="22" t="n">
        <v>0</v>
      </c>
      <c r="L4" s="22" t="n">
        <v>0</v>
      </c>
    </row>
    <row r="5">
      <c r="A5" s="13" t="inlineStr">
        <is>
          <t>Pre-money valuation</t>
        </is>
      </c>
      <c r="B5" s="14" t="inlineStr">
        <is>
          <t>EUR</t>
        </is>
      </c>
      <c r="C5" s="22" t="n">
        <v>2500000</v>
      </c>
      <c r="D5" s="22" t="n">
        <v>0</v>
      </c>
      <c r="E5" s="22" t="n">
        <v>10000000</v>
      </c>
      <c r="F5" s="22" t="n">
        <v>0</v>
      </c>
      <c r="G5" s="22" t="n">
        <v>40000000</v>
      </c>
      <c r="H5" s="22" t="n">
        <v>0</v>
      </c>
      <c r="I5" s="22" t="n">
        <v>0</v>
      </c>
      <c r="J5" s="22" t="n">
        <v>0</v>
      </c>
      <c r="K5" s="22" t="n">
        <v>0</v>
      </c>
      <c r="L5" s="22" t="n">
        <v>0</v>
      </c>
    </row>
    <row r="6">
      <c r="A6" s="13" t="inlineStr">
        <is>
          <t>Post-money valuation</t>
        </is>
      </c>
      <c r="B6" s="14" t="inlineStr">
        <is>
          <t>EUR</t>
        </is>
      </c>
      <c r="C6" s="48">
        <f>IF(C4=0,0,C5+C4)</f>
        <v/>
      </c>
      <c r="D6" s="48">
        <f>IF(D4=0,0,D5+D4)</f>
        <v/>
      </c>
      <c r="E6" s="48">
        <f>IF(E4=0,0,E5+E4)</f>
        <v/>
      </c>
      <c r="F6" s="48">
        <f>IF(F4=0,0,F5+F4)</f>
        <v/>
      </c>
      <c r="G6" s="48">
        <f>IF(G4=0,0,G5+G4)</f>
        <v/>
      </c>
      <c r="H6" s="48">
        <f>IF(H4=0,0,H5+H4)</f>
        <v/>
      </c>
      <c r="I6" s="48">
        <f>IF(I4=0,0,I5+I4)</f>
        <v/>
      </c>
      <c r="J6" s="48">
        <f>IF(J4=0,0,J5+J4)</f>
        <v/>
      </c>
      <c r="K6" s="48">
        <f>IF(K4=0,0,K5+K4)</f>
        <v/>
      </c>
      <c r="L6" s="48">
        <f>IF(L4=0,0,L5+L4)</f>
        <v/>
      </c>
    </row>
    <row r="7">
      <c r="A7" s="13" t="inlineStr">
        <is>
          <t>New investor stake</t>
        </is>
      </c>
      <c r="B7" s="14" t="inlineStr">
        <is>
          <t>%</t>
        </is>
      </c>
      <c r="C7" s="47">
        <f>IF(C6=0,0,C4/C6)</f>
        <v/>
      </c>
      <c r="D7" s="47">
        <f>IF(D6=0,0,D4/D6)</f>
        <v/>
      </c>
      <c r="E7" s="47">
        <f>IF(E6=0,0,E4/E6)</f>
        <v/>
      </c>
      <c r="F7" s="47">
        <f>IF(F6=0,0,F4/F6)</f>
        <v/>
      </c>
      <c r="G7" s="47">
        <f>IF(G6=0,0,G4/G6)</f>
        <v/>
      </c>
      <c r="H7" s="47">
        <f>IF(H6=0,0,H4/H6)</f>
        <v/>
      </c>
      <c r="I7" s="47">
        <f>IF(I6=0,0,I4/I6)</f>
        <v/>
      </c>
      <c r="J7" s="47">
        <f>IF(J6=0,0,J4/J6)</f>
        <v/>
      </c>
      <c r="K7" s="47">
        <f>IF(K6=0,0,K4/K6)</f>
        <v/>
      </c>
      <c r="L7" s="47">
        <f>IF(L6=0,0,L4/L6)</f>
        <v/>
      </c>
    </row>
    <row r="8">
      <c r="A8" s="13" t="inlineStr">
        <is>
          <t>Cumulative dilution</t>
        </is>
      </c>
      <c r="B8" s="14" t="inlineStr">
        <is>
          <t>%</t>
        </is>
      </c>
      <c r="C8" s="47">
        <f>C7</f>
        <v/>
      </c>
      <c r="D8" s="47">
        <f>1-(1-C8)*(1-D7)</f>
        <v/>
      </c>
      <c r="E8" s="47">
        <f>1-(1-D8)*(1-E7)</f>
        <v/>
      </c>
      <c r="F8" s="47">
        <f>1-(1-E8)*(1-F7)</f>
        <v/>
      </c>
      <c r="G8" s="47">
        <f>1-(1-F8)*(1-G7)</f>
        <v/>
      </c>
      <c r="H8" s="47">
        <f>1-(1-G8)*(1-H7)</f>
        <v/>
      </c>
      <c r="I8" s="47">
        <f>1-(1-H8)*(1-I7)</f>
        <v/>
      </c>
      <c r="J8" s="47">
        <f>1-(1-I8)*(1-J7)</f>
        <v/>
      </c>
      <c r="K8" s="47">
        <f>1-(1-J8)*(1-K7)</f>
        <v/>
      </c>
      <c r="L8" s="47">
        <f>1-(1-K8)*(1-L7)</f>
        <v/>
      </c>
    </row>
    <row r="9">
      <c r="A9" s="39" t="inlineStr">
        <is>
          <t>Founders + team retained</t>
        </is>
      </c>
      <c r="B9" s="40" t="inlineStr">
        <is>
          <t>%</t>
        </is>
      </c>
      <c r="C9" s="51">
        <f>1-C8</f>
        <v/>
      </c>
      <c r="D9" s="51">
        <f>1-D8</f>
        <v/>
      </c>
      <c r="E9" s="51">
        <f>1-E8</f>
        <v/>
      </c>
      <c r="F9" s="51">
        <f>1-F8</f>
        <v/>
      </c>
      <c r="G9" s="51">
        <f>1-G8</f>
        <v/>
      </c>
      <c r="H9" s="51">
        <f>1-H8</f>
        <v/>
      </c>
      <c r="I9" s="51">
        <f>1-I8</f>
        <v/>
      </c>
      <c r="J9" s="51">
        <f>1-J8</f>
        <v/>
      </c>
      <c r="K9" s="51">
        <f>1-K8</f>
        <v/>
      </c>
      <c r="L9" s="51">
        <f>1-L8</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1/(1+Assumptions!$C$84)^1</f>
        <v/>
      </c>
      <c r="D5" s="33">
        <f>1/(1+Assumptions!$C$84)^2</f>
        <v/>
      </c>
      <c r="E5" s="33">
        <f>1/(1+Assumptions!$C$84)^3</f>
        <v/>
      </c>
      <c r="F5" s="33">
        <f>1/(1+Assumptions!$C$84)^4</f>
        <v/>
      </c>
      <c r="G5" s="33">
        <f>1/(1+Assumptions!$C$84)^5</f>
        <v/>
      </c>
      <c r="H5" s="33">
        <f>1/(1+Assumptions!$C$84)^6</f>
        <v/>
      </c>
      <c r="I5" s="33">
        <f>1/(1+Assumptions!$C$84)^7</f>
        <v/>
      </c>
      <c r="J5" s="33">
        <f>1/(1+Assumptions!$C$84)^8</f>
        <v/>
      </c>
      <c r="K5" s="33">
        <f>1/(1+Assumptions!$C$84)^9</f>
        <v/>
      </c>
      <c r="L5" s="33">
        <f>1/(1+Assumptions!$C$84)^10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3" t="inlineStr">
        <is>
          <t>FCF incl. terminal value</t>
        </is>
      </c>
      <c r="B8" s="14" t="inlineStr">
        <is>
          <t>for the IRR below</t>
        </is>
      </c>
      <c r="C8" s="48">
        <f>C4+IF(1=10,$C$11,0)</f>
        <v/>
      </c>
      <c r="D8" s="48">
        <f>D4+IF(2=10,$C$11,0)</f>
        <v/>
      </c>
      <c r="E8" s="48">
        <f>E4+IF(3=10,$C$11,0)</f>
        <v/>
      </c>
      <c r="F8" s="48">
        <f>F4+IF(4=10,$C$11,0)</f>
        <v/>
      </c>
      <c r="G8" s="48">
        <f>G4+IF(5=10,$C$11,0)</f>
        <v/>
      </c>
      <c r="H8" s="48">
        <f>H4+IF(6=10,$C$11,0)</f>
        <v/>
      </c>
      <c r="I8" s="48">
        <f>I4+IF(7=10,$C$11,0)</f>
        <v/>
      </c>
      <c r="J8" s="48">
        <f>J4+IF(8=10,$C$11,0)</f>
        <v/>
      </c>
      <c r="K8" s="48">
        <f>K4+IF(9=10,$C$11,0)</f>
        <v/>
      </c>
      <c r="L8" s="48">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52">
        <f>SUM(C6:L6)</f>
        <v/>
      </c>
    </row>
    <row r="11">
      <c r="A11" s="13" t="inlineStr">
        <is>
          <t>Terminal value at Y10</t>
        </is>
      </c>
      <c r="C11" s="52">
        <f>L4*(1+Assumptions!$C$85)/(Assumptions!$C$84-Assumptions!$C$85)</f>
        <v/>
      </c>
    </row>
    <row r="12">
      <c r="A12" s="13" t="inlineStr">
        <is>
          <t>PV of terminal value</t>
        </is>
      </c>
      <c r="C12" s="52">
        <f>C11*L5</f>
        <v/>
      </c>
    </row>
    <row r="13">
      <c r="A13" s="2" t="inlineStr">
        <is>
          <t>ENTERPRISE VALUE (DCF)</t>
        </is>
      </c>
      <c r="C13" s="52">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52">
        <f>NPV(Assumptions!$C$84,C4:L4)</f>
        <v/>
      </c>
    </row>
    <row r="17">
      <c r="A17" s="13" t="inlineStr">
        <is>
          <t>IRR of the plan</t>
        </is>
      </c>
      <c r="C17" s="53">
        <f>IRR(C4:L4)</f>
        <v/>
      </c>
    </row>
    <row r="18">
      <c r="A18" s="13" t="inlineStr">
        <is>
          <t>IRR incl. terminal value</t>
        </is>
      </c>
      <c r="C18" s="53">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52">
        <f>Revenue!L21</f>
        <v/>
      </c>
    </row>
    <row r="22">
      <c r="A22" s="13" t="inlineStr">
        <is>
          <t>Exit value at Y10</t>
        </is>
      </c>
      <c r="C22" s="52">
        <f>C21*Assumptions!$C$86</f>
        <v/>
      </c>
    </row>
    <row r="23">
      <c r="A23" s="13" t="inlineStr">
        <is>
          <t>Discounted to today</t>
        </is>
      </c>
      <c r="C23" s="52">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54" t="n">
        <v>0.18</v>
      </c>
      <c r="D26" s="54" t="n">
        <v>0.2</v>
      </c>
      <c r="E26" s="54" t="n">
        <v>0.22</v>
      </c>
      <c r="F26" s="54" t="n">
        <v>0.25</v>
      </c>
      <c r="G26" s="54" t="n">
        <v>0.28</v>
      </c>
      <c r="H26" s="54" t="n">
        <v>0.3</v>
      </c>
    </row>
    <row r="27">
      <c r="A27" s="53" t="n">
        <v>0.01</v>
      </c>
      <c r="C27" s="55">
        <f>CashFlow!C9/(1+0.18)^1+CashFlow!D9/(1+0.18)^2+CashFlow!E9/(1+0.18)^3+CashFlow!F9/(1+0.18)^4+CashFlow!G9/(1+0.18)^5+CashFlow!H9/(1+0.18)^6+CashFlow!I9/(1+0.18)^7+CashFlow!J9/(1+0.18)^8+CashFlow!K9/(1+0.18)^9+CashFlow!L9/(1+0.18)^10+CashFlow!L9*(1+0.01)/(0.18-0.01)/(1+0.18)^10</f>
        <v/>
      </c>
      <c r="D27" s="55">
        <f>CashFlow!C9/(1+0.2)^1+CashFlow!D9/(1+0.2)^2+CashFlow!E9/(1+0.2)^3+CashFlow!F9/(1+0.2)^4+CashFlow!G9/(1+0.2)^5+CashFlow!H9/(1+0.2)^6+CashFlow!I9/(1+0.2)^7+CashFlow!J9/(1+0.2)^8+CashFlow!K9/(1+0.2)^9+CashFlow!L9/(1+0.2)^10+CashFlow!L9*(1+0.01)/(0.2-0.01)/(1+0.2)^10</f>
        <v/>
      </c>
      <c r="E27" s="55">
        <f>CashFlow!C9/(1+0.22)^1+CashFlow!D9/(1+0.22)^2+CashFlow!E9/(1+0.22)^3+CashFlow!F9/(1+0.22)^4+CashFlow!G9/(1+0.22)^5+CashFlow!H9/(1+0.22)^6+CashFlow!I9/(1+0.22)^7+CashFlow!J9/(1+0.22)^8+CashFlow!K9/(1+0.22)^9+CashFlow!L9/(1+0.22)^10+CashFlow!L9*(1+0.01)/(0.22-0.01)/(1+0.22)^10</f>
        <v/>
      </c>
      <c r="F27" s="55">
        <f>CashFlow!C9/(1+0.25)^1+CashFlow!D9/(1+0.25)^2+CashFlow!E9/(1+0.25)^3+CashFlow!F9/(1+0.25)^4+CashFlow!G9/(1+0.25)^5+CashFlow!H9/(1+0.25)^6+CashFlow!I9/(1+0.25)^7+CashFlow!J9/(1+0.25)^8+CashFlow!K9/(1+0.25)^9+CashFlow!L9/(1+0.25)^10+CashFlow!L9*(1+0.01)/(0.25-0.01)/(1+0.25)^10</f>
        <v/>
      </c>
      <c r="G27" s="55">
        <f>CashFlow!C9/(1+0.28)^1+CashFlow!D9/(1+0.28)^2+CashFlow!E9/(1+0.28)^3+CashFlow!F9/(1+0.28)^4+CashFlow!G9/(1+0.28)^5+CashFlow!H9/(1+0.28)^6+CashFlow!I9/(1+0.28)^7+CashFlow!J9/(1+0.28)^8+CashFlow!K9/(1+0.28)^9+CashFlow!L9/(1+0.28)^10+CashFlow!L9*(1+0.01)/(0.28-0.01)/(1+0.28)^10</f>
        <v/>
      </c>
      <c r="H27" s="55">
        <f>CashFlow!C9/(1+0.3)^1+CashFlow!D9/(1+0.3)^2+CashFlow!E9/(1+0.3)^3+CashFlow!F9/(1+0.3)^4+CashFlow!G9/(1+0.3)^5+CashFlow!H9/(1+0.3)^6+CashFlow!I9/(1+0.3)^7+CashFlow!J9/(1+0.3)^8+CashFlow!K9/(1+0.3)^9+CashFlow!L9/(1+0.3)^10+CashFlow!L9*(1+0.01)/(0.3-0.01)/(1+0.3)^10</f>
        <v/>
      </c>
    </row>
    <row r="28">
      <c r="A28" s="53" t="n">
        <v>0.02</v>
      </c>
      <c r="C28" s="55">
        <f>CashFlow!C9/(1+0.18)^1+CashFlow!D9/(1+0.18)^2+CashFlow!E9/(1+0.18)^3+CashFlow!F9/(1+0.18)^4+CashFlow!G9/(1+0.18)^5+CashFlow!H9/(1+0.18)^6+CashFlow!I9/(1+0.18)^7+CashFlow!J9/(1+0.18)^8+CashFlow!K9/(1+0.18)^9+CashFlow!L9/(1+0.18)^10+CashFlow!L9*(1+0.02)/(0.18-0.02)/(1+0.18)^10</f>
        <v/>
      </c>
      <c r="D28" s="55">
        <f>CashFlow!C9/(1+0.2)^1+CashFlow!D9/(1+0.2)^2+CashFlow!E9/(1+0.2)^3+CashFlow!F9/(1+0.2)^4+CashFlow!G9/(1+0.2)^5+CashFlow!H9/(1+0.2)^6+CashFlow!I9/(1+0.2)^7+CashFlow!J9/(1+0.2)^8+CashFlow!K9/(1+0.2)^9+CashFlow!L9/(1+0.2)^10+CashFlow!L9*(1+0.02)/(0.2-0.02)/(1+0.2)^10</f>
        <v/>
      </c>
      <c r="E28" s="55">
        <f>CashFlow!C9/(1+0.22)^1+CashFlow!D9/(1+0.22)^2+CashFlow!E9/(1+0.22)^3+CashFlow!F9/(1+0.22)^4+CashFlow!G9/(1+0.22)^5+CashFlow!H9/(1+0.22)^6+CashFlow!I9/(1+0.22)^7+CashFlow!J9/(1+0.22)^8+CashFlow!K9/(1+0.22)^9+CashFlow!L9/(1+0.22)^10+CashFlow!L9*(1+0.02)/(0.22-0.02)/(1+0.22)^10</f>
        <v/>
      </c>
      <c r="F28" s="55">
        <f>CashFlow!C9/(1+0.25)^1+CashFlow!D9/(1+0.25)^2+CashFlow!E9/(1+0.25)^3+CashFlow!F9/(1+0.25)^4+CashFlow!G9/(1+0.25)^5+CashFlow!H9/(1+0.25)^6+CashFlow!I9/(1+0.25)^7+CashFlow!J9/(1+0.25)^8+CashFlow!K9/(1+0.25)^9+CashFlow!L9/(1+0.25)^10+CashFlow!L9*(1+0.02)/(0.25-0.02)/(1+0.25)^10</f>
        <v/>
      </c>
      <c r="G28" s="55">
        <f>CashFlow!C9/(1+0.28)^1+CashFlow!D9/(1+0.28)^2+CashFlow!E9/(1+0.28)^3+CashFlow!F9/(1+0.28)^4+CashFlow!G9/(1+0.28)^5+CashFlow!H9/(1+0.28)^6+CashFlow!I9/(1+0.28)^7+CashFlow!J9/(1+0.28)^8+CashFlow!K9/(1+0.28)^9+CashFlow!L9/(1+0.28)^10+CashFlow!L9*(1+0.02)/(0.28-0.02)/(1+0.28)^10</f>
        <v/>
      </c>
      <c r="H28" s="55">
        <f>CashFlow!C9/(1+0.3)^1+CashFlow!D9/(1+0.3)^2+CashFlow!E9/(1+0.3)^3+CashFlow!F9/(1+0.3)^4+CashFlow!G9/(1+0.3)^5+CashFlow!H9/(1+0.3)^6+CashFlow!I9/(1+0.3)^7+CashFlow!J9/(1+0.3)^8+CashFlow!K9/(1+0.3)^9+CashFlow!L9/(1+0.3)^10+CashFlow!L9*(1+0.02)/(0.3-0.02)/(1+0.3)^10</f>
        <v/>
      </c>
    </row>
    <row r="29">
      <c r="A29" s="53" t="n">
        <v>0.03</v>
      </c>
      <c r="C29" s="55">
        <f>CashFlow!C9/(1+0.18)^1+CashFlow!D9/(1+0.18)^2+CashFlow!E9/(1+0.18)^3+CashFlow!F9/(1+0.18)^4+CashFlow!G9/(1+0.18)^5+CashFlow!H9/(1+0.18)^6+CashFlow!I9/(1+0.18)^7+CashFlow!J9/(1+0.18)^8+CashFlow!K9/(1+0.18)^9+CashFlow!L9/(1+0.18)^10+CashFlow!L9*(1+0.03)/(0.18-0.03)/(1+0.18)^10</f>
        <v/>
      </c>
      <c r="D29" s="55">
        <f>CashFlow!C9/(1+0.2)^1+CashFlow!D9/(1+0.2)^2+CashFlow!E9/(1+0.2)^3+CashFlow!F9/(1+0.2)^4+CashFlow!G9/(1+0.2)^5+CashFlow!H9/(1+0.2)^6+CashFlow!I9/(1+0.2)^7+CashFlow!J9/(1+0.2)^8+CashFlow!K9/(1+0.2)^9+CashFlow!L9/(1+0.2)^10+CashFlow!L9*(1+0.03)/(0.2-0.03)/(1+0.2)^10</f>
        <v/>
      </c>
      <c r="E29" s="55">
        <f>CashFlow!C9/(1+0.22)^1+CashFlow!D9/(1+0.22)^2+CashFlow!E9/(1+0.22)^3+CashFlow!F9/(1+0.22)^4+CashFlow!G9/(1+0.22)^5+CashFlow!H9/(1+0.22)^6+CashFlow!I9/(1+0.22)^7+CashFlow!J9/(1+0.22)^8+CashFlow!K9/(1+0.22)^9+CashFlow!L9/(1+0.22)^10+CashFlow!L9*(1+0.03)/(0.22-0.03)/(1+0.22)^10</f>
        <v/>
      </c>
      <c r="F29" s="55">
        <f>CashFlow!C9/(1+0.25)^1+CashFlow!D9/(1+0.25)^2+CashFlow!E9/(1+0.25)^3+CashFlow!F9/(1+0.25)^4+CashFlow!G9/(1+0.25)^5+CashFlow!H9/(1+0.25)^6+CashFlow!I9/(1+0.25)^7+CashFlow!J9/(1+0.25)^8+CashFlow!K9/(1+0.25)^9+CashFlow!L9/(1+0.25)^10+CashFlow!L9*(1+0.03)/(0.25-0.03)/(1+0.25)^10</f>
        <v/>
      </c>
      <c r="G29" s="55">
        <f>CashFlow!C9/(1+0.28)^1+CashFlow!D9/(1+0.28)^2+CashFlow!E9/(1+0.28)^3+CashFlow!F9/(1+0.28)^4+CashFlow!G9/(1+0.28)^5+CashFlow!H9/(1+0.28)^6+CashFlow!I9/(1+0.28)^7+CashFlow!J9/(1+0.28)^8+CashFlow!K9/(1+0.28)^9+CashFlow!L9/(1+0.28)^10+CashFlow!L9*(1+0.03)/(0.28-0.03)/(1+0.28)^10</f>
        <v/>
      </c>
      <c r="H29" s="55">
        <f>CashFlow!C9/(1+0.3)^1+CashFlow!D9/(1+0.3)^2+CashFlow!E9/(1+0.3)^3+CashFlow!F9/(1+0.3)^4+CashFlow!G9/(1+0.3)^5+CashFlow!H9/(1+0.3)^6+CashFlow!I9/(1+0.3)^7+CashFlow!J9/(1+0.3)^8+CashFlow!K9/(1+0.3)^9+CashFlow!L9/(1+0.3)^10+CashFlow!L9*(1+0.03)/(0.3-0.03)/(1+0.3)^10</f>
        <v/>
      </c>
    </row>
    <row r="30">
      <c r="A30" s="53" t="n">
        <v>0.04</v>
      </c>
      <c r="C30" s="55">
        <f>CashFlow!C9/(1+0.18)^1+CashFlow!D9/(1+0.18)^2+CashFlow!E9/(1+0.18)^3+CashFlow!F9/(1+0.18)^4+CashFlow!G9/(1+0.18)^5+CashFlow!H9/(1+0.18)^6+CashFlow!I9/(1+0.18)^7+CashFlow!J9/(1+0.18)^8+CashFlow!K9/(1+0.18)^9+CashFlow!L9/(1+0.18)^10+CashFlow!L9*(1+0.04)/(0.18-0.04)/(1+0.18)^10</f>
        <v/>
      </c>
      <c r="D30" s="55">
        <f>CashFlow!C9/(1+0.2)^1+CashFlow!D9/(1+0.2)^2+CashFlow!E9/(1+0.2)^3+CashFlow!F9/(1+0.2)^4+CashFlow!G9/(1+0.2)^5+CashFlow!H9/(1+0.2)^6+CashFlow!I9/(1+0.2)^7+CashFlow!J9/(1+0.2)^8+CashFlow!K9/(1+0.2)^9+CashFlow!L9/(1+0.2)^10+CashFlow!L9*(1+0.04)/(0.2-0.04)/(1+0.2)^10</f>
        <v/>
      </c>
      <c r="E30" s="55">
        <f>CashFlow!C9/(1+0.22)^1+CashFlow!D9/(1+0.22)^2+CashFlow!E9/(1+0.22)^3+CashFlow!F9/(1+0.22)^4+CashFlow!G9/(1+0.22)^5+CashFlow!H9/(1+0.22)^6+CashFlow!I9/(1+0.22)^7+CashFlow!J9/(1+0.22)^8+CashFlow!K9/(1+0.22)^9+CashFlow!L9/(1+0.22)^10+CashFlow!L9*(1+0.04)/(0.22-0.04)/(1+0.22)^10</f>
        <v/>
      </c>
      <c r="F30" s="55">
        <f>CashFlow!C9/(1+0.25)^1+CashFlow!D9/(1+0.25)^2+CashFlow!E9/(1+0.25)^3+CashFlow!F9/(1+0.25)^4+CashFlow!G9/(1+0.25)^5+CashFlow!H9/(1+0.25)^6+CashFlow!I9/(1+0.25)^7+CashFlow!J9/(1+0.25)^8+CashFlow!K9/(1+0.25)^9+CashFlow!L9/(1+0.25)^10+CashFlow!L9*(1+0.04)/(0.25-0.04)/(1+0.25)^10</f>
        <v/>
      </c>
      <c r="G30" s="55">
        <f>CashFlow!C9/(1+0.28)^1+CashFlow!D9/(1+0.28)^2+CashFlow!E9/(1+0.28)^3+CashFlow!F9/(1+0.28)^4+CashFlow!G9/(1+0.28)^5+CashFlow!H9/(1+0.28)^6+CashFlow!I9/(1+0.28)^7+CashFlow!J9/(1+0.28)^8+CashFlow!K9/(1+0.28)^9+CashFlow!L9/(1+0.28)^10+CashFlow!L9*(1+0.04)/(0.28-0.04)/(1+0.28)^10</f>
        <v/>
      </c>
      <c r="H30" s="55">
        <f>CashFlow!C9/(1+0.3)^1+CashFlow!D9/(1+0.3)^2+CashFlow!E9/(1+0.3)^3+CashFlow!F9/(1+0.3)^4+CashFlow!G9/(1+0.3)^5+CashFlow!H9/(1+0.3)^6+CashFlow!I9/(1+0.3)^7+CashFlow!J9/(1+0.3)^8+CashFlow!K9/(1+0.3)^9+CashFlow!L9/(1+0.3)^10+CashFlow!L9*(1+0.04)/(0.3-0.04)/(1+0.3)^10</f>
        <v/>
      </c>
    </row>
    <row r="31">
      <c r="A31" s="53" t="n">
        <v>0.05</v>
      </c>
      <c r="C31" s="55">
        <f>CashFlow!C9/(1+0.18)^1+CashFlow!D9/(1+0.18)^2+CashFlow!E9/(1+0.18)^3+CashFlow!F9/(1+0.18)^4+CashFlow!G9/(1+0.18)^5+CashFlow!H9/(1+0.18)^6+CashFlow!I9/(1+0.18)^7+CashFlow!J9/(1+0.18)^8+CashFlow!K9/(1+0.18)^9+CashFlow!L9/(1+0.18)^10+CashFlow!L9*(1+0.05)/(0.18-0.05)/(1+0.18)^10</f>
        <v/>
      </c>
      <c r="D31" s="55">
        <f>CashFlow!C9/(1+0.2)^1+CashFlow!D9/(1+0.2)^2+CashFlow!E9/(1+0.2)^3+CashFlow!F9/(1+0.2)^4+CashFlow!G9/(1+0.2)^5+CashFlow!H9/(1+0.2)^6+CashFlow!I9/(1+0.2)^7+CashFlow!J9/(1+0.2)^8+CashFlow!K9/(1+0.2)^9+CashFlow!L9/(1+0.2)^10+CashFlow!L9*(1+0.05)/(0.2-0.05)/(1+0.2)^10</f>
        <v/>
      </c>
      <c r="E31" s="55">
        <f>CashFlow!C9/(1+0.22)^1+CashFlow!D9/(1+0.22)^2+CashFlow!E9/(1+0.22)^3+CashFlow!F9/(1+0.22)^4+CashFlow!G9/(1+0.22)^5+CashFlow!H9/(1+0.22)^6+CashFlow!I9/(1+0.22)^7+CashFlow!J9/(1+0.22)^8+CashFlow!K9/(1+0.22)^9+CashFlow!L9/(1+0.22)^10+CashFlow!L9*(1+0.05)/(0.22-0.05)/(1+0.22)^10</f>
        <v/>
      </c>
      <c r="F31" s="55">
        <f>CashFlow!C9/(1+0.25)^1+CashFlow!D9/(1+0.25)^2+CashFlow!E9/(1+0.25)^3+CashFlow!F9/(1+0.25)^4+CashFlow!G9/(1+0.25)^5+CashFlow!H9/(1+0.25)^6+CashFlow!I9/(1+0.25)^7+CashFlow!J9/(1+0.25)^8+CashFlow!K9/(1+0.25)^9+CashFlow!L9/(1+0.25)^10+CashFlow!L9*(1+0.05)/(0.25-0.05)/(1+0.25)^10</f>
        <v/>
      </c>
      <c r="G31" s="55">
        <f>CashFlow!C9/(1+0.28)^1+CashFlow!D9/(1+0.28)^2+CashFlow!E9/(1+0.28)^3+CashFlow!F9/(1+0.28)^4+CashFlow!G9/(1+0.28)^5+CashFlow!H9/(1+0.28)^6+CashFlow!I9/(1+0.28)^7+CashFlow!J9/(1+0.28)^8+CashFlow!K9/(1+0.28)^9+CashFlow!L9/(1+0.28)^10+CashFlow!L9*(1+0.05)/(0.28-0.05)/(1+0.28)^10</f>
        <v/>
      </c>
      <c r="H31"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Variety, OnlyFans FY2024 financials</t>
        </is>
      </c>
    </row>
    <row r="6">
      <c r="A6" s="58" t="inlineStr">
        <is>
          <t>Net revenue</t>
        </is>
      </c>
      <c r="B6" s="59" t="n">
        <v>1410000000</v>
      </c>
      <c r="C6" s="60" t="inlineStr">
        <is>
          <t>USD</t>
        </is>
      </c>
      <c r="D6" s="60" t="inlineStr">
        <is>
          <t>OnlyFans</t>
        </is>
      </c>
      <c r="E6" s="60" t="inlineStr">
        <is>
          <t>FY2024</t>
        </is>
      </c>
      <c r="F6" s="60" t="inlineStr">
        <is>
          <t>Variety, OnlyFans FY2024 financials</t>
        </is>
      </c>
    </row>
    <row r="7">
      <c r="A7" s="58" t="inlineStr">
        <is>
          <t>Paid to creators</t>
        </is>
      </c>
      <c r="B7" s="59" t="n">
        <v>5800000000</v>
      </c>
      <c r="C7" s="60" t="inlineStr">
        <is>
          <t>USD</t>
        </is>
      </c>
      <c r="D7" s="60" t="inlineStr">
        <is>
          <t>OnlyFans</t>
        </is>
      </c>
      <c r="E7" s="60" t="inlineStr">
        <is>
          <t>FY2024</t>
        </is>
      </c>
      <c r="F7" s="60" t="inlineStr">
        <is>
          <t>Variety — 80% creator share</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3">
      <c r="A23" s="58" t="inlineStr">
        <is>
          <t>Division I athletes in network</t>
        </is>
      </c>
      <c r="B23" s="59" t="n">
        <v>45000</v>
      </c>
      <c r="C23" s="60" t="inlineStr">
        <is>
          <t>count</t>
        </is>
      </c>
      <c r="D23" s="60" t="inlineStr">
        <is>
          <t>TEKTA</t>
        </is>
      </c>
      <c r="E23" s="60" t="inlineStr">
        <is>
          <t>Aug 2026</t>
        </is>
      </c>
      <c r="F23" s="60" t="inlineStr">
        <is>
          <t>Publicis Groupe press release, 19 Aug 2026</t>
        </is>
      </c>
    </row>
    <row r="24">
      <c r="A24" s="58" t="inlineStr">
        <is>
          <t>Power Four universities</t>
        </is>
      </c>
      <c r="B24" s="59" t="n">
        <v>68</v>
      </c>
      <c r="C24" s="60" t="inlineStr">
        <is>
          <t>count</t>
        </is>
      </c>
      <c r="D24" s="60" t="inlineStr">
        <is>
          <t>TEKTA</t>
        </is>
      </c>
      <c r="E24" s="60" t="inlineStr">
        <is>
          <t>Aug 2026</t>
        </is>
      </c>
      <c r="F24" s="60" t="inlineStr">
        <is>
          <t>Publicis Groupe press release</t>
        </is>
      </c>
    </row>
    <row r="25">
      <c r="A25" s="58" t="inlineStr">
        <is>
          <t>Claimed speed-to-market gain</t>
        </is>
      </c>
      <c r="B25" s="61" t="n">
        <v>0.6</v>
      </c>
      <c r="C25" s="60" t="inlineStr">
        <is>
          <t>share faster</t>
        </is>
      </c>
      <c r="D25" s="60" t="inlineStr">
        <is>
          <t>TEKTA</t>
        </is>
      </c>
      <c r="E25" s="60" t="inlineStr">
        <is>
          <t>Aug 2026</t>
        </is>
      </c>
      <c r="F25" s="60" t="inlineStr">
        <is>
          <t>Publicis — stated 50-70% vs a traditional agency process</t>
        </is>
      </c>
    </row>
    <row r="27">
      <c r="A27" s="62"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3" t="n">
        <v>0.2</v>
      </c>
      <c r="C29" s="64" t="n">
        <v>0</v>
      </c>
      <c r="D29" s="64" t="n">
        <v>0</v>
      </c>
      <c r="F29" s="65" t="inlineStr">
        <is>
          <t>Company disclosure — 80% creator share</t>
        </is>
      </c>
    </row>
    <row r="30">
      <c r="A30" s="2" t="inlineStr">
        <is>
          <t>Fansly</t>
        </is>
      </c>
      <c r="B30" s="63" t="n">
        <v>0.2</v>
      </c>
      <c r="C30" s="64" t="n">
        <v>0</v>
      </c>
      <c r="D30" s="64" t="n">
        <v>0</v>
      </c>
      <c r="F30" s="65" t="inlineStr">
        <is>
          <t>MEXC platform comparison 2026</t>
        </is>
      </c>
    </row>
    <row r="31">
      <c r="A31" s="2" t="inlineStr">
        <is>
          <t>Fanfix</t>
        </is>
      </c>
      <c r="B31" s="63" t="n">
        <v>0.2</v>
      </c>
      <c r="C31" s="64" t="n">
        <v>0</v>
      </c>
      <c r="D31" s="64" t="n">
        <v>0</v>
      </c>
      <c r="F31" s="65" t="inlineStr">
        <is>
          <t>Outseeker comparison 2026</t>
        </is>
      </c>
    </row>
    <row r="32">
      <c r="A32" s="2" t="inlineStr">
        <is>
          <t>Patreon</t>
        </is>
      </c>
      <c r="B32" s="63" t="n">
        <v>0.1</v>
      </c>
      <c r="C32" s="64" t="n">
        <v>0</v>
      </c>
      <c r="D32" s="64" t="n">
        <v>0</v>
      </c>
      <c r="F32" s="65" t="inlineStr">
        <is>
          <t>8-12% by plan tier; 10% midpoint</t>
        </is>
      </c>
    </row>
    <row r="33">
      <c r="A33" s="2" t="inlineStr">
        <is>
          <t>Passes</t>
        </is>
      </c>
      <c r="B33" s="63" t="n">
        <v>0.1</v>
      </c>
      <c r="C33" s="64" t="n">
        <v>0.3</v>
      </c>
      <c r="D33" s="64" t="n">
        <v>29</v>
      </c>
      <c r="F33" s="65" t="inlineStr">
        <is>
          <t>Sacra; Passes rebrand release Apr 2026</t>
        </is>
      </c>
    </row>
    <row r="34">
      <c r="A34" s="2" t="inlineStr">
        <is>
          <t>Stride (proposed)</t>
        </is>
      </c>
      <c r="B34" s="63" t="n">
        <v>0.15</v>
      </c>
      <c r="C34" s="64" t="n">
        <v>0</v>
      </c>
      <c r="D34" s="64" t="n">
        <v>0</v>
      </c>
      <c r="F34" s="65" t="inlineStr">
        <is>
          <t>Our decision — see MarketModel</t>
        </is>
      </c>
    </row>
    <row r="36">
      <c r="A36" s="62" t="inlineStr">
        <is>
          <t>INTERMEDIARIES the athlete already pays</t>
        </is>
      </c>
    </row>
    <row r="37">
      <c r="A37" s="13" t="inlineStr">
        <is>
          <t>Sports agent — endorsement</t>
        </is>
      </c>
      <c r="B37" s="63" t="n">
        <v>0.1</v>
      </c>
      <c r="C37" s="63" t="n">
        <v>0.2</v>
      </c>
      <c r="F37" s="65" t="inlineStr">
        <is>
          <t>Oreate / Sapling agent-commission surveys</t>
        </is>
      </c>
    </row>
    <row r="38">
      <c r="A38" s="13" t="inlineStr">
        <is>
          <t>Sports agent — playing contract</t>
        </is>
      </c>
      <c r="B38" s="63" t="n">
        <v>0.04</v>
      </c>
      <c r="C38" s="63" t="n">
        <v>0.1</v>
      </c>
      <c r="F38" s="65" t="inlineStr">
        <is>
          <t>Same</t>
        </is>
      </c>
    </row>
    <row r="39">
      <c r="A39" s="13" t="inlineStr">
        <is>
          <t>OnlyFans management agency</t>
        </is>
      </c>
      <c r="B39" s="63" t="n">
        <v>0.2</v>
      </c>
      <c r="C39" s="63" t="n">
        <v>0.5</v>
      </c>
      <c r="F39" s="65" t="inlineStr">
        <is>
          <t>Aruna Talent rate guide 2026 — on top of the 20%</t>
        </is>
      </c>
    </row>
    <row r="42">
      <c r="A42" s="2" t="inlineStr">
        <is>
          <t>SOURCES</t>
        </is>
      </c>
    </row>
    <row r="43">
      <c r="A43" s="66" t="inlineStr">
        <is>
          <t>OnlyFans FY2024</t>
        </is>
      </c>
      <c r="B43" s="67" t="inlineStr">
        <is>
          <t>https://variety.com/2025/digital/news/onlyfans-fiscal-2024-revenue-earnings-1236495750/</t>
        </is>
      </c>
    </row>
    <row r="44">
      <c r="A44" s="66" t="inlineStr">
        <is>
          <t>Patreon creators</t>
        </is>
      </c>
      <c r="B44" s="67" t="inlineStr">
        <is>
          <t>https://backlinko.com/patreon-users</t>
        </is>
      </c>
    </row>
    <row r="45">
      <c r="A45" s="66" t="inlineStr">
        <is>
          <t>Passes economics</t>
        </is>
      </c>
      <c r="B45" s="67" t="inlineStr">
        <is>
          <t>https://sacra.com/c/passes/</t>
        </is>
      </c>
    </row>
    <row r="46">
      <c r="A46" s="66" t="inlineStr">
        <is>
          <t>Platform comparison</t>
        </is>
      </c>
      <c r="B46" s="67" t="inlineStr">
        <is>
          <t>https://www.mexc.com/news/1014749</t>
        </is>
      </c>
    </row>
    <row r="47">
      <c r="A47" s="66" t="inlineStr">
        <is>
          <t>Agency commissions</t>
        </is>
      </c>
      <c r="B47" s="67" t="inlineStr">
        <is>
          <t>https://arunatalent.com/blog/onlyfans-agency-commission-rates/</t>
        </is>
      </c>
    </row>
    <row r="48">
      <c r="A48" s="66" t="inlineStr">
        <is>
          <t>Agent commissions</t>
        </is>
      </c>
      <c r="B48" s="67" t="inlineStr">
        <is>
          <t>https://www.oreateai.com/blog/understanding-sports-agents-commission-what-percentage-do-they-take/95c2df506ae450b9b71340b89cfcfece</t>
        </is>
      </c>
    </row>
    <row r="49">
      <c r="A49" s="66" t="inlineStr">
        <is>
          <t>Eurobarometer 525</t>
        </is>
      </c>
      <c r="B49" s="67" t="inlineStr">
        <is>
          <t>https://europa.eu/eurobarometer/surveys/detail/2668</t>
        </is>
      </c>
    </row>
    <row r="50">
      <c r="A50" s="66" t="inlineStr">
        <is>
          <t>FIP World Padel Report 2025</t>
        </is>
      </c>
      <c r="B50" s="67" t="inlineStr">
        <is>
          <t>https://www.padelfip.com/2025/12/online-the-fip-world-padel-report-2025-a-comprehensive-analysis-of-a-sport-in-constant-growth/</t>
        </is>
      </c>
    </row>
    <row r="51">
      <c r="A51" s="66" t="inlineStr">
        <is>
          <t>Stripe EU pricing</t>
        </is>
      </c>
      <c r="B51" s="67" t="inlineStr">
        <is>
          <t>https://stripe.com/es/pricing</t>
        </is>
      </c>
    </row>
    <row r="52">
      <c r="A52" s="66" t="inlineStr">
        <is>
          <t>TEKTA launch</t>
        </is>
      </c>
      <c r="B52" s="67" t="inlineStr">
        <is>
          <t>https://www.publicisgroupe.com/en/news/press-releases/publicis-sports-and-travis-kelce-s-tekta-join-forces-to-reimagine-the-future-of-nil-marketing</t>
        </is>
      </c>
    </row>
    <row r="53">
      <c r="A53" s="66" t="inlineStr">
        <is>
          <t>Stripe Connect age</t>
        </is>
      </c>
      <c r="B53" s="67" t="inlineStr">
        <is>
          <t>https://support.stripe.com/questions/age-requirement-to-create-a-stripe-account</t>
        </is>
      </c>
    </row>
  </sheetData>
  <mergeCells count="11">
    <mergeCell ref="B44:F44"/>
    <mergeCell ref="B53:F53"/>
    <mergeCell ref="B43:F43"/>
    <mergeCell ref="B47:F47"/>
    <mergeCell ref="B48:F48"/>
    <mergeCell ref="B51:F51"/>
    <mergeCell ref="B45:F45"/>
    <mergeCell ref="B46:F46"/>
    <mergeCell ref="B50:F50"/>
    <mergeCell ref="B52:F52"/>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68" t="inlineStr">
        <is>
          <t>Published</t>
        </is>
      </c>
    </row>
    <row r="7" ht="30" customHeight="1">
      <c r="A7" s="13" t="inlineStr">
        <is>
          <t>Patreon creators with &gt;=1 paying member</t>
        </is>
      </c>
      <c r="B7" s="17">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1">
        <f>Comparables!B9/Comparables!B8</f>
        <v/>
      </c>
      <c r="D9" s="68" t="inlineStr">
        <is>
          <t>Fan ACCOUNTS, not paying fans - most follow free. Shown as an upper bound only.</t>
        </is>
      </c>
    </row>
    <row r="10" ht="30" customHeight="1">
      <c r="A10" s="13" t="inlineStr">
        <is>
          <t>Niche adjustment</t>
        </is>
      </c>
      <c r="B10" s="24" t="n">
        <v>1.06</v>
      </c>
      <c r="D10" s="68" t="inlineStr">
        <is>
          <t>OUR JUDGEMENT: +6% on the Patreon benchmark. Sport audiences are smaller but convert better, because the fan usually does the sport themselves.</t>
        </is>
      </c>
    </row>
    <row r="11" ht="30" customHeight="1">
      <c r="A11" s="13" t="inlineStr">
        <is>
          <t>Popular adjustment</t>
        </is>
      </c>
      <c r="B11" s="24"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20" t="n">
        <v>4.99</v>
      </c>
      <c r="D15" s="68" t="inlineStr"/>
    </row>
    <row r="16" ht="15" customHeight="1">
      <c r="A16" s="13" t="inlineStr">
        <is>
          <t>Tier 2 price (Insider)</t>
        </is>
      </c>
      <c r="B16" s="20" t="n">
        <v>9.99</v>
      </c>
      <c r="D16" s="68" t="inlineStr"/>
    </row>
    <row r="17" ht="15" customHeight="1">
      <c r="A17" s="13" t="inlineStr">
        <is>
          <t>Tier 3 price (Inner circle)</t>
        </is>
      </c>
      <c r="B17" s="20"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68" t="inlineStr">
        <is>
          <t>Published average - below our figure because Patreon's long tail includes many $1-3 tiers. Our EUR 9.49 sits inside their $8-12 typical band.</t>
        </is>
      </c>
    </row>
    <row r="24" ht="30" customHeight="1">
      <c r="A24" s="13" t="inlineStr">
        <is>
          <t>Niche ARPU factor</t>
        </is>
      </c>
      <c r="B24" s="24" t="n">
        <v>1</v>
      </c>
      <c r="D24" s="68" t="inlineStr">
        <is>
          <t>Niche fans buy knowledge and sit at the tier mix above.</t>
        </is>
      </c>
    </row>
    <row r="25" ht="30" customHeight="1">
      <c r="A25" s="13" t="inlineStr">
        <is>
          <t>Popular ARPU factor</t>
        </is>
      </c>
      <c r="B25" s="24"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3">
        <f>Comparables!B19</f>
        <v/>
      </c>
      <c r="D29" s="68" t="inlineStr"/>
    </row>
    <row r="30" ht="15" customHeight="1">
      <c r="A30" s="13" t="inlineStr">
        <is>
          <t>Patreon monthly churn (high)</t>
        </is>
      </c>
      <c r="B30" s="23">
        <f>Comparables!B20</f>
        <v/>
      </c>
      <c r="D30" s="68" t="inlineStr"/>
    </row>
    <row r="31" ht="15" customHeight="1">
      <c r="A31" s="13" t="inlineStr">
        <is>
          <t>Benchmark midpoint</t>
        </is>
      </c>
      <c r="B31" s="47">
        <f>(B29+B30)/2</f>
        <v/>
      </c>
      <c r="D31" s="68" t="inlineStr"/>
    </row>
    <row r="32" ht="30" customHeight="1">
      <c r="A32" s="13" t="inlineStr">
        <is>
          <t>Annual-plan churn multiplier</t>
        </is>
      </c>
      <c r="B32" s="33">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4"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68" t="inlineStr">
        <is>
          <t>Includes dormant accounts, so this is a floor.</t>
        </is>
      </c>
    </row>
    <row r="41" ht="30" customHeight="1">
      <c r="A41" s="13" t="inlineStr">
        <is>
          <t>Patreon: paid to creators / paying creators</t>
        </is>
      </c>
      <c r="B41" s="29">
        <f>Comparables!B15/Comparables!B12/12</f>
        <v/>
      </c>
      <c r="D41" s="68" t="inlineStr">
        <is>
          <t>Denominator is creators WITH members, so this is a ceiling.</t>
        </is>
      </c>
    </row>
    <row r="42" ht="30" customHeight="1">
      <c r="A42" s="2" t="inlineStr">
        <is>
          <t>Stride: modelled niche athlete, mature</t>
        </is>
      </c>
      <c r="B42" s="71">
        <f>B12*B22*(1-Assumptions!$C$40)</f>
        <v/>
      </c>
      <c r="D42" s="68" t="inlineStr">
        <is>
          <t>Ours sits between the two, which is where a plausible figure should sit.</t>
        </is>
      </c>
    </row>
    <row r="43" ht="30" customHeight="1">
      <c r="A43" s="13" t="inlineStr">
        <is>
          <t>Revenue share taken by top 0.1% (OnlyFans)</t>
        </is>
      </c>
      <c r="B43" s="23">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68" t="inlineStr">
        <is>
          <t>Comparables are published in USD; this model is in EUR. Applied to the per-transaction and monthly creator fees below.</t>
        </is>
      </c>
    </row>
    <row r="46" ht="30" customHeight="1">
      <c r="A46" s="13" t="inlineStr">
        <is>
          <t>Athlete monthly fan revenue (test case)</t>
        </is>
      </c>
      <c r="B46" s="20" t="n">
        <v>300</v>
      </c>
      <c r="D46" s="68" t="inlineStr">
        <is>
          <t>Change this to see who is cheapest at any revenue level.</t>
        </is>
      </c>
    </row>
    <row r="47" ht="30" customHeight="1">
      <c r="A47" s="13" t="inlineStr">
        <is>
          <t xml:space="preserve">  OnlyFans - athlete keeps</t>
        </is>
      </c>
      <c r="B47" s="29">
        <f>B46*(1-Comparables!B29)-B46/Assumptions!$C$47*Comparables!C29*B45-Comparables!D29*B45</f>
        <v/>
      </c>
      <c r="D47" s="68" t="inlineStr">
        <is>
          <t>Headline take, plus per-transaction and monthly creator fees where they exist.</t>
        </is>
      </c>
    </row>
    <row r="48" ht="30" customHeight="1">
      <c r="A48" s="13" t="inlineStr">
        <is>
          <t xml:space="preserve">  Patreon - athlete keeps</t>
        </is>
      </c>
      <c r="B48" s="29">
        <f>B46*(1-Comparables!B32)-B46/Assumptions!$C$47*Comparables!C32*B45-Comparables!D32*B45</f>
        <v/>
      </c>
      <c r="D48" s="68" t="inlineStr">
        <is>
          <t>Headline take, plus per-transaction and monthly creator fees where they exist.</t>
        </is>
      </c>
    </row>
    <row r="49" ht="30" customHeight="1">
      <c r="A49" s="13" t="inlineStr">
        <is>
          <t xml:space="preserve">  Passes - athlete keeps</t>
        </is>
      </c>
      <c r="B49" s="29">
        <f>B46*(1-Comparables!B33)-B46/Assumptions!$C$47*Comparables!C33*B45-Comparables!D33*B45</f>
        <v/>
      </c>
      <c r="D49" s="68" t="inlineStr">
        <is>
          <t>Headline take, plus per-transaction and monthly creator fees where they exist.</t>
        </is>
      </c>
    </row>
    <row r="50" ht="30" customHeight="1">
      <c r="A50" s="13" t="inlineStr">
        <is>
          <t xml:space="preserve">  Stride (proposed) - athlete keeps</t>
        </is>
      </c>
      <c r="B50" s="29">
        <f>B46*(1-Comparables!B34)-B46/Assumptions!$C$47*Comparables!C34*B45-Comparables!D34*B45</f>
        <v/>
      </c>
      <c r="D50" s="68" t="inlineStr">
        <is>
          <t>Headline take, plus per-transaction and monthly creator fees where they exist.</t>
        </is>
      </c>
    </row>
    <row r="51" ht="30" customHeight="1">
      <c r="A51" s="2" t="inlineStr">
        <is>
          <t>Crossover vs Passes (EUR/month)</t>
        </is>
      </c>
      <c r="B51" s="30">
        <f>Comparables!D33*B45/((Comparables!B34-Comparables!B33)-Comparables!C33*B45/Assumptions!$C$47)</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3">
        <f>Assumptions!$C$40</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3">
        <f>Assumptions!$C$41</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3">
        <f>Assumptions!$C$12</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3">
        <f>Assumptions!$C$13</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3">
        <f>Assumptions!$C$11</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3">
        <f>Assumptions!$C$10</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3">
        <f>Assumptions!$C$43</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3">
        <f>Assumptions!$C$44</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3">
        <f>Assumptions!$C$45</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3">
        <f>Assumptions!$C$5</f>
        <v/>
      </c>
      <c r="C24" s="83" t="inlineStr">
        <is>
          <t>ESTIMATE</t>
        </is>
      </c>
      <c r="D24" s="78" t="inlineStr">
        <is>
          <t>400 rising to 85,000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3">
        <f>Assumptions!$C$19</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Admission rate, direct applicants</t>
        </is>
      </c>
      <c r="B27" s="33">
        <f>Assumptions!$C$75</f>
        <v/>
      </c>
      <c r="C27" s="85" t="inlineStr">
        <is>
          <t>DERIVED</t>
        </is>
      </c>
      <c r="D27" s="7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78" t="inlineStr">
        <is>
          <t>scripts/admission_stress.py, section 7 — over a modelled applicant mix</t>
        </is>
      </c>
      <c r="F27" s="81" t="inlineStr">
        <is>
          <t>Medium</t>
        </is>
      </c>
      <c r="G27" s="78" t="inlineStr">
        <is>
          <t>Real intake data. The mix the sweep assumes is the soft part, not the arithmetic.</t>
        </is>
      </c>
    </row>
    <row r="28" ht="58" customHeight="1">
      <c r="A28" s="76" t="inlineStr">
        <is>
          <t>Admission rate, club-nominated</t>
        </is>
      </c>
      <c r="B28" s="33">
        <f>Assumptions!$C$77</f>
        <v/>
      </c>
      <c r="C28" s="83" t="inlineStr">
        <is>
          <t>ESTIMATE</t>
        </is>
      </c>
      <c r="D28" s="78"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78" t="inlineStr">
        <is>
          <t>None — the mechanism is built and tested, the conversion is not yet measured</t>
        </is>
      </c>
      <c r="F28" s="84" t="inlineStr">
        <is>
          <t>Low</t>
        </is>
      </c>
      <c r="G28" s="78" t="inlineStr">
        <is>
          <t>The first federation partnership: nominated applicants are tagged, so this is measurable from day one of it.</t>
        </is>
      </c>
    </row>
    <row r="29" ht="58" customHeight="1">
      <c r="A29" s="76" t="inlineStr">
        <is>
          <t>Athlete verification cost</t>
        </is>
      </c>
      <c r="B29" s="33">
        <f>Assumptions!$C$80</f>
        <v/>
      </c>
      <c r="C29" s="85" t="inlineStr">
        <is>
          <t>DERIVED</t>
        </is>
      </c>
      <c r="D29" s="7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78" t="inlineStr">
        <is>
          <t>Derived from the sweep's review volume and the model's own salary line</t>
        </is>
      </c>
      <c r="F29" s="81" t="inlineStr">
        <is>
          <t>Medium</t>
        </is>
      </c>
      <c r="G29" s="78" t="inlineStr">
        <is>
          <t>Timing real reviews. Four minutes is an estimate of a mechanical task.</t>
        </is>
      </c>
    </row>
    <row r="30" ht="58" customHeight="1">
      <c r="A30" s="76" t="inlineStr">
        <is>
          <t>Athlete CAC vs the funnel</t>
        </is>
      </c>
      <c r="B30" s="33">
        <f>Assumptions!$C$19</f>
        <v/>
      </c>
      <c r="C30" s="83" t="inlineStr">
        <is>
          <t>ESTIMATE</t>
        </is>
      </c>
      <c r="D30" s="7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78" t="inlineStr">
        <is>
          <t>None — this is a definitional choice, made explicit so it is not silently reversed</t>
        </is>
      </c>
      <c r="F30" s="84" t="inlineStr">
        <is>
          <t>Low</t>
        </is>
      </c>
      <c r="G30" s="78" t="inlineStr">
        <is>
          <t>Channel-level spend against applications, which the funnel now records.</t>
        </is>
      </c>
    </row>
    <row r="31" ht="58" customHeight="1">
      <c r="A31" s="76" t="inlineStr">
        <is>
          <t>Loaded salary, Spain</t>
        </is>
      </c>
      <c r="B31" s="33">
        <f>Assumptions!$C$60</f>
        <v/>
      </c>
      <c r="C31" s="77" t="inlineStr">
        <is>
          <t>BENCHMARKED</t>
        </is>
      </c>
      <c r="D31"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78" t="inlineStr">
        <is>
          <t>Spanish Seguridad Social employer contribution rates</t>
        </is>
      </c>
      <c r="F31" s="81" t="inlineStr">
        <is>
          <t>Medium</t>
        </is>
      </c>
      <c r="G31" s="78" t="inlineStr">
        <is>
          <t>Actual offers accepted.</t>
        </is>
      </c>
    </row>
    <row r="32" ht="58" customHeight="1">
      <c r="A32" s="76" t="inlineStr">
        <is>
          <t>AWS infrastructure</t>
        </is>
      </c>
      <c r="B32" s="33">
        <f>Assumptions!$C$51</f>
        <v/>
      </c>
      <c r="C32" s="77" t="inlineStr">
        <is>
          <t>BENCHMARKED</t>
        </is>
      </c>
      <c r="D32" s="78" t="inlineStr">
        <is>
          <t>Built up per stage from list prices: Fargate, RDS then Aurora, ElastiCache, S3, MediaConvert, CloudWatch. Reserved capacity and Savings Plans (25-40%) are deliberately excluded and treated as upside.</t>
        </is>
      </c>
      <c r="E32" s="78" t="inlineStr">
        <is>
          <t>AWS published list pricing, 2026</t>
        </is>
      </c>
      <c r="F32" s="81" t="inlineStr">
        <is>
          <t>Medium</t>
        </is>
      </c>
      <c r="G32" s="78" t="inlineStr">
        <is>
          <t>Actual bills; commit to Savings Plans once usage is stable.</t>
        </is>
      </c>
    </row>
    <row r="33" ht="58" customHeight="1">
      <c r="A33" s="76" t="inlineStr">
        <is>
          <t>Media egress</t>
        </is>
      </c>
      <c r="B33" s="33">
        <f>Assumptions!$C$53</f>
        <v/>
      </c>
      <c r="C33" s="82" t="inlineStr">
        <is>
          <t>SOURCED</t>
        </is>
      </c>
      <c r="D33"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78" t="inlineStr">
        <is>
          <t>Cloudflare R2 and Backblaze B2 pricing; AWS CloudFront list price</t>
        </is>
      </c>
      <c r="F33" s="79" t="inlineStr">
        <is>
          <t>High</t>
        </is>
      </c>
      <c r="G33" s="78" t="inlineStr">
        <is>
          <t>Nothing. Both are published.</t>
        </is>
      </c>
    </row>
    <row r="34" ht="58" customHeight="1">
      <c r="A34" s="76" t="inlineStr">
        <is>
          <t>Moderation cost</t>
        </is>
      </c>
      <c r="B34" s="33">
        <f>Assumptions!$C$55</f>
        <v/>
      </c>
      <c r="C34" s="83" t="inlineStr">
        <is>
          <t>ESTIMATE</t>
        </is>
      </c>
      <c r="D34" s="78" t="inlineStr">
        <is>
          <t>EUR 22 per 1,000 items reviewed, on a hybrid of automated classification and human review. Vendor pricing varies widely with SLA and content type.</t>
        </is>
      </c>
      <c r="E34" s="78" t="inlineStr">
        <is>
          <t>None cited</t>
        </is>
      </c>
      <c r="F34" s="84" t="inlineStr">
        <is>
          <t>Low</t>
        </is>
      </c>
      <c r="G34" s="78" t="inlineStr">
        <is>
          <t>Vendor quotes once P2 scope is fixed.</t>
        </is>
      </c>
    </row>
    <row r="35">
      <c r="A35" s="11" t="inlineStr">
        <is>
          <t>— TAX, CAPITAL &amp; VALUATION —</t>
        </is>
      </c>
      <c r="B35" s="12" t="n"/>
      <c r="C35" s="12" t="n"/>
      <c r="D35" s="12" t="n"/>
      <c r="E35" s="12" t="n"/>
      <c r="F35" s="12" t="n"/>
      <c r="G35" s="12" t="n"/>
    </row>
    <row r="36" ht="58" customHeight="1">
      <c r="A36" s="76" t="inlineStr">
        <is>
          <t>Corporate tax rates</t>
        </is>
      </c>
      <c r="B36" s="33">
        <f>Assumptions!$C$70</f>
        <v/>
      </c>
      <c r="C36" s="82" t="inlineStr">
        <is>
          <t>SOURCED</t>
        </is>
      </c>
      <c r="D36" s="78" t="inlineStr">
        <is>
          <t>15% for the first four profitable years under the Spanish Startup Law, then the 25% standard rate. Modelled with loss carryforward against the Y1-Y4 losses.</t>
        </is>
      </c>
      <c r="E36" s="78" t="inlineStr">
        <is>
          <t>Ley de Startups (Spain); Impuesto sobre Sociedades</t>
        </is>
      </c>
      <c r="F36" s="79" t="inlineStr">
        <is>
          <t>High</t>
        </is>
      </c>
      <c r="G36" s="78" t="inlineStr">
        <is>
          <t>Confirm eligibility with a Spanish tax adviser before filing.</t>
        </is>
      </c>
    </row>
    <row r="37" ht="58" customHeight="1">
      <c r="A37" s="76" t="inlineStr">
        <is>
          <t>Risk-free rate</t>
        </is>
      </c>
      <c r="B37" s="33">
        <f>Assumptions!$C$87</f>
        <v/>
      </c>
      <c r="C37" s="82" t="inlineStr">
        <is>
          <t>SOURCED</t>
        </is>
      </c>
      <c r="D37" s="78" t="inlineStr">
        <is>
          <t>Spanish 10-year sovereign yield, ~3.2% in mid-2026. Used as the floor for the founder opportunity-cost calculation rather than as the discount rate.</t>
        </is>
      </c>
      <c r="E37" s="78" t="inlineStr">
        <is>
          <t>Spanish 10Y government bond yield</t>
        </is>
      </c>
      <c r="F37" s="79" t="inlineStr">
        <is>
          <t>High</t>
        </is>
      </c>
      <c r="G37" s="78" t="inlineStr">
        <is>
          <t>Refresh at the date of any raise.</t>
        </is>
      </c>
    </row>
    <row r="38" ht="58" customHeight="1">
      <c r="A38" s="76" t="inlineStr">
        <is>
          <t>WACC / discount rate</t>
        </is>
      </c>
      <c r="B38" s="33">
        <f>Assumptions!$C$84</f>
        <v/>
      </c>
      <c r="C38" s="77" t="inlineStr">
        <is>
          <t>BENCHMARKED</t>
        </is>
      </c>
      <c r="D38" s="78" t="inlineStr">
        <is>
          <t>25%. The conventional range for pre-revenue to early-revenue venture is 20-35% and we sit mid-range. The sensitivity grid runs 18-30% precisely because this is arguable rather than knowable.</t>
        </is>
      </c>
      <c r="E38" s="78" t="inlineStr">
        <is>
          <t>Standard venture valuation practice</t>
        </is>
      </c>
      <c r="F38" s="81" t="inlineStr">
        <is>
          <t>Medium</t>
        </is>
      </c>
      <c r="G38" s="78" t="inlineStr">
        <is>
          <t>An actual term sheet prices this for you.</t>
        </is>
      </c>
    </row>
    <row r="39" ht="58" customHeight="1">
      <c r="A39" s="76" t="inlineStr">
        <is>
          <t>Exit revenue multiple</t>
        </is>
      </c>
      <c r="B39" s="33">
        <f>Assumptions!$C$86</f>
        <v/>
      </c>
      <c r="C39" s="77" t="inlineStr">
        <is>
          <t>BENCHMARKED</t>
        </is>
      </c>
      <c r="D39" s="78" t="inlineStr">
        <is>
          <t>6.5x blended. Marketplace comparables trade around 4x revenue and high-growth SaaS around 9x; our Y10 mix is roughly 55% marketplace take and 12% SaaS.</t>
        </is>
      </c>
      <c r="E39" s="78" t="inlineStr">
        <is>
          <t>Public marketplace and SaaS trading multiples</t>
        </is>
      </c>
      <c r="F39" s="81" t="inlineStr">
        <is>
          <t>Medium</t>
        </is>
      </c>
      <c r="G39" s="78" t="inlineStr">
        <is>
          <t>Comparable private transactions nearer an exit.</t>
        </is>
      </c>
    </row>
    <row r="40" ht="58" customHeight="1">
      <c r="A40" s="76" t="inlineStr">
        <is>
          <t>Terminal growth</t>
        </is>
      </c>
      <c r="B40" s="33">
        <f>Assumptions!$C$85</f>
        <v/>
      </c>
      <c r="C40" s="77" t="inlineStr">
        <is>
          <t>BENCHMARKED</t>
        </is>
      </c>
      <c r="D40" s="78" t="inlineStr">
        <is>
          <t>3%, approximating long-run nominal GDP. Ten explicit forecast years were chosen partly so this assumption carries less of the valuation than it would at Y7.</t>
        </is>
      </c>
      <c r="E40" s="78" t="inlineStr">
        <is>
          <t>Standard DCF convention</t>
        </is>
      </c>
      <c r="F40" s="81" t="inlineStr">
        <is>
          <t>Medium</t>
        </is>
      </c>
      <c r="G40" s="78" t="inlineStr">
        <is>
          <t>Nothing — it is a convention, and the grid shows its effect.</t>
        </is>
      </c>
    </row>
    <row r="41">
      <c r="A41" s="11" t="inlineStr">
        <is>
          <t>— COMPLIANCE —</t>
        </is>
      </c>
      <c r="B41" s="12" t="n"/>
      <c r="C41" s="12" t="n"/>
      <c r="D41" s="12" t="n"/>
      <c r="E41" s="12" t="n"/>
      <c r="F41" s="12" t="n"/>
      <c r="G41" s="12" t="n"/>
    </row>
    <row r="42" ht="58" customHeight="1">
      <c r="A42" s="76" t="inlineStr">
        <is>
          <t>Payout age floor</t>
        </is>
      </c>
      <c r="B42" s="80" t="inlineStr">
        <is>
          <t>see model</t>
        </is>
      </c>
      <c r="C42" s="82" t="inlineStr">
        <is>
          <t>SOURCED</t>
        </is>
      </c>
      <c r="D42" s="78" t="inlineStr">
        <is>
          <t>Stripe Express and Custom Connect require 18. Standard Connect allows 13+, but a legal guardian must own the account and hold the bank account the money lands in.</t>
        </is>
      </c>
      <c r="E42" s="78" t="inlineStr">
        <is>
          <t>Stripe Connect documentation</t>
        </is>
      </c>
      <c r="F42" s="79" t="inlineStr">
        <is>
          <t>High</t>
        </is>
      </c>
      <c r="G42" s="78" t="inlineStr">
        <is>
          <t>Nothing — it is a hard platform rule.</t>
        </is>
      </c>
    </row>
    <row r="43" ht="58" customHeight="1">
      <c r="A43" s="76" t="inlineStr">
        <is>
          <t>Digital consent age, Spain</t>
        </is>
      </c>
      <c r="B43" s="80" t="inlineStr">
        <is>
          <t>see model</t>
        </is>
      </c>
      <c r="C43" s="82" t="inlineStr">
        <is>
          <t>SOURCED</t>
        </is>
      </c>
      <c r="D43" s="78" t="inlineStr">
        <is>
          <t>14 today under LOPDGDD Art. 7. A draft Organic Law on the Protection of Minors in Digital Environments would raise it to 16 and make age verification mandatory — which is why 16 is the forward-compatible floor for an account.</t>
        </is>
      </c>
      <c r="E43" s="78" t="inlineStr">
        <is>
          <t>LOPDGDD Art. 7; draft Organic Law, Council of Ministers, March 2025</t>
        </is>
      </c>
      <c r="F43" s="79" t="inlineStr">
        <is>
          <t>High</t>
        </is>
      </c>
      <c r="G43" s="78" t="inlineStr">
        <is>
          <t>Track the bill through Parliament.</t>
        </is>
      </c>
    </row>
    <row r="45">
      <c r="A45" s="86" t="inlineStr">
        <is>
          <t>THE THREE ASSUMPTIONS MOST LIKELY TO BE WRONG</t>
        </is>
      </c>
    </row>
    <row r="46" ht="30" customHeight="1">
      <c r="A46" s="87" t="inlineStr">
        <is>
          <t>1. Fan churn. We assume 6-13%/month; Patreon reports 10-15%. If Patreon is right, Y10 revenue falls from about EUR 58M to EUR 51M and the capital requirement roughly doubles.</t>
        </is>
      </c>
    </row>
    <row r="47" ht="30" customHeight="1">
      <c r="A47" s="87" t="inlineStr">
        <is>
          <t>2. Athlete count. The trajectory is a target, not a forecast, and everything scales off it.</t>
        </is>
      </c>
    </row>
    <row r="48" ht="30" customHeight="1">
      <c r="A48" s="87" t="inlineStr">
        <is>
          <t>3. Share of athletes who monetise. No published comparable exists at all.</t>
        </is>
      </c>
    </row>
    <row r="49" ht="30" customHeight="1">
      <c r="A49" s="88" t="inlineStr"/>
    </row>
    <row r="50" ht="30" customHeight="1">
      <c r="A50" s="88"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29166.29485240957</v>
      </c>
      <c r="D5" s="22" t="n">
        <v>231466.7980089362</v>
      </c>
      <c r="E5" s="22" t="n">
        <v>1039255.898341637</v>
      </c>
      <c r="F5" s="22" t="n">
        <v>3369805.454952703</v>
      </c>
      <c r="G5" s="22" t="n">
        <v>8395820.572478704</v>
      </c>
      <c r="H5" s="22" t="n">
        <v>16203911.55883188</v>
      </c>
      <c r="I5" s="22" t="n">
        <v>26523705.50889406</v>
      </c>
      <c r="J5" s="22" t="n">
        <v>37689559.60026349</v>
      </c>
      <c r="K5" s="22" t="n">
        <v>47571802.66472916</v>
      </c>
      <c r="L5" s="22" t="n">
        <v>57961416.63566395</v>
      </c>
    </row>
    <row r="6">
      <c r="A6" s="13" t="inlineStr">
        <is>
          <t xml:space="preserve">  This workbook</t>
        </is>
      </c>
      <c r="B6" s="14" t="inlineStr">
        <is>
          <t>recalculated</t>
        </is>
      </c>
      <c r="C6" s="30">
        <f>Revenue!C21</f>
        <v/>
      </c>
      <c r="D6" s="30">
        <f>Revenue!D21</f>
        <v/>
      </c>
      <c r="E6" s="30">
        <f>Revenue!E21</f>
        <v/>
      </c>
      <c r="F6" s="30">
        <f>Revenue!F21</f>
        <v/>
      </c>
      <c r="G6" s="30">
        <f>Revenue!G21</f>
        <v/>
      </c>
      <c r="H6" s="30">
        <f>Revenue!H21</f>
        <v/>
      </c>
      <c r="I6" s="30">
        <f>Revenue!I21</f>
        <v/>
      </c>
      <c r="J6" s="30">
        <f>Revenue!J21</f>
        <v/>
      </c>
      <c r="K6" s="30">
        <f>Revenue!K21</f>
        <v/>
      </c>
      <c r="L6" s="30">
        <f>Revenue!L21</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13471.23223109862</v>
      </c>
      <c r="D10" s="22" t="n">
        <v>80172.86367656694</v>
      </c>
      <c r="E10" s="22" t="n">
        <v>324954.3266336625</v>
      </c>
      <c r="F10" s="22" t="n">
        <v>997729.1293521416</v>
      </c>
      <c r="G10" s="22" t="n">
        <v>2405944.872754806</v>
      </c>
      <c r="H10" s="22" t="n">
        <v>4500263.01540566</v>
      </c>
      <c r="I10" s="22" t="n">
        <v>7225273.097037062</v>
      </c>
      <c r="J10" s="22" t="n">
        <v>10131408.91889975</v>
      </c>
      <c r="K10" s="22" t="n">
        <v>12708269.29438148</v>
      </c>
      <c r="L10" s="22" t="n">
        <v>15327976.37081417</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15695.06262131096</v>
      </c>
      <c r="D15" s="22" t="n">
        <v>151293.9343323692</v>
      </c>
      <c r="E15" s="22" t="n">
        <v>714301.5717079744</v>
      </c>
      <c r="F15" s="22" t="n">
        <v>2372076.325600561</v>
      </c>
      <c r="G15" s="22" t="n">
        <v>5989875.699723898</v>
      </c>
      <c r="H15" s="22" t="n">
        <v>11703648.54342622</v>
      </c>
      <c r="I15" s="22" t="n">
        <v>19298432.41185699</v>
      </c>
      <c r="J15" s="22" t="n">
        <v>27558150.68136375</v>
      </c>
      <c r="K15" s="22" t="n">
        <v>34863533.37034767</v>
      </c>
      <c r="L15" s="22" t="n">
        <v>42633440.26484978</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106713.3035881928</v>
      </c>
      <c r="D20" s="22" t="n">
        <v>339580.5438407149</v>
      </c>
      <c r="E20" s="22" t="n">
        <v>988068.311867331</v>
      </c>
      <c r="F20" s="22" t="n">
        <v>2290796.436396216</v>
      </c>
      <c r="G20" s="22" t="n">
        <v>4270681.645798297</v>
      </c>
      <c r="H20" s="22" t="n">
        <v>6568757.92470655</v>
      </c>
      <c r="I20" s="22" t="n">
        <v>9306976.440711524</v>
      </c>
      <c r="J20" s="22" t="n">
        <v>11454508.76802108</v>
      </c>
      <c r="K20" s="22" t="n">
        <v>13113106.71317833</v>
      </c>
      <c r="L20" s="22" t="n">
        <v>14421220.53085312</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-91018.2409668818</v>
      </c>
      <c r="D25" s="22" t="n">
        <v>-188286.6095083457</v>
      </c>
      <c r="E25" s="22" t="n">
        <v>-273766.7401593566</v>
      </c>
      <c r="F25" s="22" t="n">
        <v>81279.88920434518</v>
      </c>
      <c r="G25" s="22" t="n">
        <v>1719194.053925601</v>
      </c>
      <c r="H25" s="22" t="n">
        <v>5134890.618719673</v>
      </c>
      <c r="I25" s="22" t="n">
        <v>9991455.97114547</v>
      </c>
      <c r="J25" s="22" t="n">
        <v>16103641.91334267</v>
      </c>
      <c r="K25" s="22" t="n">
        <v>21750426.65716934</v>
      </c>
      <c r="L25" s="22" t="n">
        <v>28212219.73399667</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12216.77513623969</v>
      </c>
      <c r="E30" s="15" t="n">
        <v>46332.54873998636</v>
      </c>
      <c r="F30" s="15" t="n">
        <v>130165.2787389947</v>
      </c>
      <c r="G30" s="15" t="n">
        <v>285069.434677292</v>
      </c>
      <c r="H30" s="15" t="n">
        <v>490646.3002045305</v>
      </c>
      <c r="I30" s="15" t="n">
        <v>759408.0000000001</v>
      </c>
      <c r="J30" s="15" t="n">
        <v>1007675.5</v>
      </c>
      <c r="K30" s="15" t="n">
        <v>1237523.200000001</v>
      </c>
      <c r="L30" s="15" t="n">
        <v>1415029</v>
      </c>
    </row>
    <row r="31">
      <c r="A31" s="13" t="inlineStr">
        <is>
          <t xml:space="preserve">  This workbook</t>
        </is>
      </c>
      <c r="B31" s="14" t="inlineStr">
        <is>
          <t>recalculated</t>
        </is>
      </c>
      <c r="C31" s="17">
        <f>Drivers!C36</f>
        <v/>
      </c>
      <c r="D31" s="17">
        <f>Drivers!D36</f>
        <v/>
      </c>
      <c r="E31" s="17">
        <f>Drivers!E36</f>
        <v/>
      </c>
      <c r="F31" s="17">
        <f>Drivers!F36</f>
        <v/>
      </c>
      <c r="G31" s="17">
        <f>Drivers!G36</f>
        <v/>
      </c>
      <c r="H31" s="17">
        <f>Drivers!H36</f>
        <v/>
      </c>
      <c r="I31" s="17">
        <f>Drivers!I36</f>
        <v/>
      </c>
      <c r="J31" s="17">
        <f>Drivers!J36</f>
        <v/>
      </c>
      <c r="K31" s="17">
        <f>Drivers!K36</f>
        <v/>
      </c>
      <c r="L31" s="17">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8460.569939583806</v>
      </c>
      <c r="E35" s="15" t="n">
        <v>33681.45306248255</v>
      </c>
      <c r="F35" s="15" t="n">
        <v>98963.81839944553</v>
      </c>
      <c r="G35" s="15" t="n">
        <v>227425.4773897808</v>
      </c>
      <c r="H35" s="15" t="n">
        <v>414207.6658039982</v>
      </c>
      <c r="I35" s="15" t="n">
        <v>657721.7669360247</v>
      </c>
      <c r="J35" s="15" t="n">
        <v>913140.2146882666</v>
      </c>
      <c r="K35" s="15" t="n">
        <v>1149376.178943606</v>
      </c>
      <c r="L35" s="15" t="n">
        <v>1346876.890546899</v>
      </c>
    </row>
    <row r="36">
      <c r="A36" s="13" t="inlineStr">
        <is>
          <t xml:space="preserve">  This workbook</t>
        </is>
      </c>
      <c r="B36" s="14" t="inlineStr">
        <is>
          <t>recalculated</t>
        </is>
      </c>
      <c r="C36" s="17">
        <f>Drivers!C37</f>
        <v/>
      </c>
      <c r="D36" s="17">
        <f>Drivers!D37</f>
        <v/>
      </c>
      <c r="E36" s="17">
        <f>Drivers!E37</f>
        <v/>
      </c>
      <c r="F36" s="17">
        <f>Drivers!F37</f>
        <v/>
      </c>
      <c r="G36" s="17">
        <f>Drivers!G37</f>
        <v/>
      </c>
      <c r="H36" s="17">
        <f>Drivers!H37</f>
        <v/>
      </c>
      <c r="I36" s="17">
        <f>Drivers!I37</f>
        <v/>
      </c>
      <c r="J36" s="17">
        <f>Drivers!J37</f>
        <v/>
      </c>
      <c r="K36" s="17">
        <f>Drivers!K37</f>
        <v/>
      </c>
      <c r="L36" s="17">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195421.2990160638</v>
      </c>
      <c r="D40" s="22" t="n">
        <v>1368483.186726241</v>
      </c>
      <c r="E40" s="22" t="n">
        <v>6281119.322277579</v>
      </c>
      <c r="F40" s="22" t="n">
        <v>21555531.69968468</v>
      </c>
      <c r="G40" s="22" t="n">
        <v>56547437.14985803</v>
      </c>
      <c r="H40" s="22" t="n">
        <v>112416110.3922125</v>
      </c>
      <c r="I40" s="22" t="n">
        <v>185699583.3926271</v>
      </c>
      <c r="J40" s="22" t="n">
        <v>265231690.6684232</v>
      </c>
      <c r="K40" s="22" t="n">
        <v>333011385.764861</v>
      </c>
      <c r="L40" s="22" t="n">
        <v>410111470.9044263</v>
      </c>
    </row>
    <row r="41">
      <c r="A41" s="13" t="inlineStr">
        <is>
          <t xml:space="preserve">  This workbook</t>
        </is>
      </c>
      <c r="B41" s="14" t="inlineStr">
        <is>
          <t>recalculated</t>
        </is>
      </c>
      <c r="C41" s="30">
        <f>Revenue!C15</f>
        <v/>
      </c>
      <c r="D41" s="30">
        <f>Revenue!D15</f>
        <v/>
      </c>
      <c r="E41" s="30">
        <f>Revenue!E15</f>
        <v/>
      </c>
      <c r="F41" s="30">
        <f>Revenue!F15</f>
        <v/>
      </c>
      <c r="G41" s="30">
        <f>Revenue!G15</f>
        <v/>
      </c>
      <c r="H41" s="30">
        <f>Revenue!H15</f>
        <v/>
      </c>
      <c r="I41" s="30">
        <f>Revenue!I15</f>
        <v/>
      </c>
      <c r="J41" s="30">
        <f>Revenue!J15</f>
        <v/>
      </c>
      <c r="K41" s="30">
        <f>Revenue!K15</f>
        <v/>
      </c>
      <c r="L41" s="30">
        <f>Revenue!L15</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175.824</v>
      </c>
      <c r="E45" s="15" t="n">
        <v>888.8000000000001</v>
      </c>
      <c r="F45" s="15" t="n">
        <v>3355.559999999999</v>
      </c>
      <c r="G45" s="15" t="n">
        <v>8969.5</v>
      </c>
      <c r="H45" s="15" t="n">
        <v>17518</v>
      </c>
      <c r="I45" s="15" t="n">
        <v>27331.2</v>
      </c>
      <c r="J45" s="15" t="n">
        <v>37741.6</v>
      </c>
      <c r="K45" s="15" t="n">
        <v>44472.16</v>
      </c>
      <c r="L45" s="15" t="n">
        <v>54270.8</v>
      </c>
    </row>
    <row r="46">
      <c r="A46" s="13" t="inlineStr">
        <is>
          <t xml:space="preserve">  This workbook</t>
        </is>
      </c>
      <c r="B46" s="14" t="inlineStr">
        <is>
          <t>recalculated</t>
        </is>
      </c>
      <c r="C46" s="17">
        <f>Drivers!C44</f>
        <v/>
      </c>
      <c r="D46" s="17">
        <f>Drivers!D44</f>
        <v/>
      </c>
      <c r="E46" s="17">
        <f>Drivers!E44</f>
        <v/>
      </c>
      <c r="F46" s="17">
        <f>Drivers!F44</f>
        <v/>
      </c>
      <c r="G46" s="17">
        <f>Drivers!G44</f>
        <v/>
      </c>
      <c r="H46" s="17">
        <f>Drivers!H44</f>
        <v/>
      </c>
      <c r="I46" s="17">
        <f>Drivers!I44</f>
        <v/>
      </c>
      <c r="J46" s="17">
        <f>Drivers!J44</f>
        <v/>
      </c>
      <c r="K46" s="17">
        <f>Drivers!K44</f>
        <v/>
      </c>
      <c r="L46" s="17">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6706.666666666666</v>
      </c>
      <c r="E50" s="15" t="n">
        <v>16562.56</v>
      </c>
      <c r="F50" s="15" t="n">
        <v>32462.96296296296</v>
      </c>
      <c r="G50" s="15" t="n">
        <v>51957.8947368421</v>
      </c>
      <c r="H50" s="15" t="n">
        <v>61593.22033898304</v>
      </c>
      <c r="I50" s="15" t="n">
        <v>70819.67213114753</v>
      </c>
      <c r="J50" s="15" t="n">
        <v>74141.93548387096</v>
      </c>
      <c r="K50" s="15" t="n">
        <v>73817.46031746031</v>
      </c>
      <c r="L50" s="15" t="n">
        <v>72199.05511811023</v>
      </c>
    </row>
    <row r="51">
      <c r="A51" s="13" t="inlineStr">
        <is>
          <t xml:space="preserve">  This workbook</t>
        </is>
      </c>
      <c r="B51" s="14" t="inlineStr">
        <is>
          <t>recalculated</t>
        </is>
      </c>
      <c r="C51" s="17">
        <f>Drivers!C52</f>
        <v/>
      </c>
      <c r="D51" s="17">
        <f>Drivers!D52</f>
        <v/>
      </c>
      <c r="E51" s="17">
        <f>Drivers!E52</f>
        <v/>
      </c>
      <c r="F51" s="17">
        <f>Drivers!F52</f>
        <v/>
      </c>
      <c r="G51" s="17">
        <f>Drivers!G52</f>
        <v/>
      </c>
      <c r="H51" s="17">
        <f>Drivers!H52</f>
        <v/>
      </c>
      <c r="I51" s="17">
        <f>Drivers!I52</f>
        <v/>
      </c>
      <c r="J51" s="17">
        <f>Drivers!J52</f>
        <v/>
      </c>
      <c r="K51" s="17">
        <f>Drivers!K52</f>
        <v/>
      </c>
      <c r="L51" s="17">
        <f>Drivers!L52</f>
        <v/>
      </c>
    </row>
    <row r="52">
      <c r="A52" s="39" t="inlineStr">
        <is>
          <t xml:space="preserve">  VARIANCE</t>
        </is>
      </c>
      <c r="B52" s="40" t="inlineStr">
        <is>
          <t>must be 0</t>
        </is>
      </c>
      <c r="C52" s="90">
        <f>ROUND(C51-C50,0)</f>
        <v/>
      </c>
      <c r="D52" s="90">
        <f>ROUND(D51-D50,0)</f>
        <v/>
      </c>
      <c r="E52" s="90">
        <f>ROUND(E51-E50,0)</f>
        <v/>
      </c>
      <c r="F52" s="90">
        <f>ROUND(F51-F50,0)</f>
        <v/>
      </c>
      <c r="G52" s="90">
        <f>ROUND(G51-G50,0)</f>
        <v/>
      </c>
      <c r="H52" s="90">
        <f>ROUND(H51-H50,0)</f>
        <v/>
      </c>
      <c r="I52" s="90">
        <f>ROUND(I51-I50,0)</f>
        <v/>
      </c>
      <c r="J52" s="90">
        <f>ROUND(J51-J50,0)</f>
        <v/>
      </c>
      <c r="K52" s="90">
        <f>ROUND(K51-K50,0)</f>
        <v/>
      </c>
      <c r="L52" s="90">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3323.350588235294</v>
      </c>
      <c r="E55" s="22" t="n">
        <v>9197.09214117647</v>
      </c>
      <c r="F55" s="22" t="n">
        <v>18771.99477124183</v>
      </c>
      <c r="G55" s="22" t="n">
        <v>30419.20792569659</v>
      </c>
      <c r="H55" s="22" t="n">
        <v>36693.13446327682</v>
      </c>
      <c r="I55" s="22" t="n">
        <v>42886.17164898746</v>
      </c>
      <c r="J55" s="22" t="n">
        <v>45887.7522580645</v>
      </c>
      <c r="K55" s="22" t="n">
        <v>46656.10868347338</v>
      </c>
      <c r="L55" s="22" t="n">
        <v>46715.90313046164</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89">
        <f>ROUND(C56-C55,0)</f>
        <v/>
      </c>
      <c r="D57" s="89">
        <f>ROUND(D56-D55,0)</f>
        <v/>
      </c>
      <c r="E57" s="89">
        <f>ROUND(E56-E55,0)</f>
        <v/>
      </c>
      <c r="F57" s="89">
        <f>ROUND(F56-F55,0)</f>
        <v/>
      </c>
      <c r="G57" s="89">
        <f>ROUND(G56-G55,0)</f>
        <v/>
      </c>
      <c r="H57" s="89">
        <f>ROUND(H56-H55,0)</f>
        <v/>
      </c>
      <c r="I57" s="89">
        <f>ROUND(I56-I55,0)</f>
        <v/>
      </c>
      <c r="J57" s="89">
        <f>ROUND(J56-J55,0)</f>
        <v/>
      </c>
      <c r="K57" s="89">
        <f>ROUND(K56-K55,0)</f>
        <v/>
      </c>
      <c r="L57" s="89">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107985.3528743043</v>
      </c>
      <c r="H60" s="22" t="n">
        <v>696313.5928079509</v>
      </c>
      <c r="I60" s="22" t="n">
        <v>1385738.395671821</v>
      </c>
      <c r="J60" s="22" t="n">
        <v>2259366.2870014</v>
      </c>
      <c r="K60" s="22" t="n">
        <v>5105306.664292335</v>
      </c>
      <c r="L60" s="22" t="n">
        <v>6656254.933499167</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89">
        <f>ROUND(C61-C60,0)</f>
        <v/>
      </c>
      <c r="D62" s="89">
        <f>ROUND(D61-D60,0)</f>
        <v/>
      </c>
      <c r="E62" s="89">
        <f>ROUND(E61-E60,0)</f>
        <v/>
      </c>
      <c r="F62" s="89">
        <f>ROUND(F61-F60,0)</f>
        <v/>
      </c>
      <c r="G62" s="89">
        <f>ROUND(G61-G60,0)</f>
        <v/>
      </c>
      <c r="H62" s="89">
        <f>ROUND(H61-H60,0)</f>
        <v/>
      </c>
      <c r="I62" s="89">
        <f>ROUND(I61-I60,0)</f>
        <v/>
      </c>
      <c r="J62" s="89">
        <f>ROUND(J61-J60,0)</f>
        <v/>
      </c>
      <c r="K62" s="89">
        <f>ROUND(K61-K60,0)</f>
        <v/>
      </c>
      <c r="L62" s="89">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-96718.2409668818</v>
      </c>
      <c r="D65" s="22" t="n">
        <v>-209586.6095083457</v>
      </c>
      <c r="E65" s="22" t="n">
        <v>-337066.7401593566</v>
      </c>
      <c r="F65" s="22" t="n">
        <v>-65920.11079565482</v>
      </c>
      <c r="G65" s="22" t="n">
        <v>1321208.701051297</v>
      </c>
      <c r="H65" s="22" t="n">
        <v>3945777.025911722</v>
      </c>
      <c r="I65" s="22" t="n">
        <v>7852517.575473649</v>
      </c>
      <c r="J65" s="22" t="n">
        <v>12803075.62634127</v>
      </c>
      <c r="K65" s="22" t="n">
        <v>15315919.992877</v>
      </c>
      <c r="L65" s="22" t="n">
        <v>19968764.8004975</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89">
        <f>ROUND(C66-C65,0)</f>
        <v/>
      </c>
      <c r="D67" s="89">
        <f>ROUND(D66-D65,0)</f>
        <v/>
      </c>
      <c r="E67" s="89">
        <f>ROUND(E66-E65,0)</f>
        <v/>
      </c>
      <c r="F67" s="89">
        <f>ROUND(F66-F65,0)</f>
        <v/>
      </c>
      <c r="G67" s="89">
        <f>ROUND(G66-G65,0)</f>
        <v/>
      </c>
      <c r="H67" s="89">
        <f>ROUND(H66-H65,0)</f>
        <v/>
      </c>
      <c r="I67" s="89">
        <f>ROUND(I66-I65,0)</f>
        <v/>
      </c>
      <c r="J67" s="89">
        <f>ROUND(J66-J65,0)</f>
        <v/>
      </c>
      <c r="K67" s="89">
        <f>ROUND(K66-K65,0)</f>
        <v/>
      </c>
      <c r="L67" s="89">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-91794.11057541128</v>
      </c>
      <c r="D70" s="22" t="n">
        <v>-174889.1779378571</v>
      </c>
      <c r="E70" s="22" t="n">
        <v>-179709.1262577989</v>
      </c>
      <c r="F70" s="22" t="n">
        <v>428037.923168655</v>
      </c>
      <c r="G70" s="22" t="n">
        <v>2451393.290187358</v>
      </c>
      <c r="H70" s="22" t="n">
        <v>5707074.250576285</v>
      </c>
      <c r="I70" s="22" t="n">
        <v>10150756.53571027</v>
      </c>
      <c r="J70" s="22" t="n">
        <v>15248579.73307066</v>
      </c>
      <c r="K70" s="22" t="n">
        <v>17392334.6690449</v>
      </c>
      <c r="L70" s="22" t="n">
        <v>22281419.04604195</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89">
        <f>ROUND(C71-C70,0)</f>
        <v/>
      </c>
      <c r="D72" s="89">
        <f>ROUND(D71-D70,0)</f>
        <v/>
      </c>
      <c r="E72" s="89">
        <f>ROUND(E71-E70,0)</f>
        <v/>
      </c>
      <c r="F72" s="89">
        <f>ROUND(F71-F70,0)</f>
        <v/>
      </c>
      <c r="G72" s="89">
        <f>ROUND(G71-G70,0)</f>
        <v/>
      </c>
      <c r="H72" s="89">
        <f>ROUND(H71-H70,0)</f>
        <v/>
      </c>
      <c r="I72" s="89">
        <f>ROUND(I71-I70,0)</f>
        <v/>
      </c>
      <c r="J72" s="89">
        <f>ROUND(J71-J70,0)</f>
        <v/>
      </c>
      <c r="K72" s="89">
        <f>ROUND(K71-K70,0)</f>
        <v/>
      </c>
      <c r="L72" s="89">
        <f>ROUND(L71-L70,0)</f>
        <v/>
      </c>
    </row>
    <row r="74">
      <c r="A74" s="2" t="inlineStr">
        <is>
          <t>Balance sheet check (from BalanceSheet, must be zero):</t>
        </is>
      </c>
    </row>
    <row r="75">
      <c r="A75" s="39" t="inlineStr">
        <is>
          <t xml:space="preserve">  Assets less liabilities and equity</t>
        </is>
      </c>
      <c r="B75" s="40" t="inlineStr">
        <is>
          <t>must be 0</t>
        </is>
      </c>
      <c r="C75" s="91">
        <f>BalanceSheet!C20</f>
        <v/>
      </c>
      <c r="D75" s="91">
        <f>BalanceSheet!D20</f>
        <v/>
      </c>
      <c r="E75" s="91">
        <f>BalanceSheet!E20</f>
        <v/>
      </c>
      <c r="F75" s="91">
        <f>BalanceSheet!F20</f>
        <v/>
      </c>
      <c r="G75" s="91">
        <f>BalanceSheet!G20</f>
        <v/>
      </c>
      <c r="H75" s="91">
        <f>BalanceSheet!H20</f>
        <v/>
      </c>
      <c r="I75" s="91">
        <f>BalanceSheet!I20</f>
        <v/>
      </c>
      <c r="J75" s="91">
        <f>BalanceSheet!J20</f>
        <v/>
      </c>
      <c r="K75" s="91">
        <f>BalanceSheet!K20</f>
        <v/>
      </c>
      <c r="L75"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2026-08-28T21:34:18Z</dcterms:created>
  <dcterms:modified xsi:type="dcterms:W3CDTF">2026-08-28T21:34:18Z</dcterms:modified>
</cp:coreProperties>
</file>