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Drivers" sheetId="3" state="visible" r:id="rId3"/>
    <sheet name="Revenue" sheetId="4" state="visible" r:id="rId4"/>
    <sheet name="Costs" sheetId="5" state="visible" r:id="rId5"/>
    <sheet name="WorkingCap" sheetId="6" state="visible" r:id="rId6"/>
    <sheet name="P&amp;L" sheetId="7" state="visible" r:id="rId7"/>
    <sheet name="CashFlow" sheetId="8" state="visible" r:id="rId8"/>
    <sheet name="BalanceSheet" sheetId="9" state="visible" r:id="rId9"/>
    <sheet name="Funding" sheetId="10" state="visible" r:id="rId10"/>
    <sheet name="Valuation" sheetId="11" state="visible" r:id="rId11"/>
    <sheet name="Che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;[Red](#,##0.00)"/>
    <numFmt numFmtId="166" formatCode="0.0"/>
    <numFmt numFmtId="167" formatCode="#,##0;[Red](#,##0)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14100A"/>
      <sz val="13"/>
    </font>
    <font>
      <name val="Calibri"/>
      <b val="1"/>
      <sz val="10"/>
    </font>
    <font>
      <name val="Calibri"/>
      <b val="1"/>
      <color rgb="00FFFFFF"/>
      <sz val="10"/>
    </font>
    <font>
      <b val="1"/>
      <color rgb="008A5200"/>
      <sz val="10"/>
    </font>
    <font>
      <name val="Calibri"/>
      <sz val="10"/>
    </font>
    <font>
      <name val="Calibri"/>
      <color rgb="006B7480"/>
      <sz val="9"/>
    </font>
    <font>
      <name val="Calibri"/>
      <color rgb="001F5FBF"/>
      <sz val="10"/>
    </font>
    <font>
      <name val="Calibri"/>
      <color rgb="00107C41"/>
      <sz val="10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i val="1"/>
      <color rgb="00B3272D"/>
      <sz val="10"/>
    </font>
    <font>
      <name val="Calibri"/>
      <b val="1"/>
      <color rgb="00107C41"/>
      <sz val="10"/>
    </font>
    <font>
      <name val="Calibri"/>
      <b val="1"/>
      <color rgb="00B3272D"/>
      <sz val="10"/>
    </font>
    <font>
      <i val="1"/>
      <sz val="9"/>
    </font>
    <font>
      <name val="Calibri"/>
      <color rgb="006B7480"/>
      <sz val="10"/>
    </font>
  </fonts>
  <fills count="5">
    <fill>
      <patternFill/>
    </fill>
    <fill>
      <patternFill patternType="gray125"/>
    </fill>
    <fill>
      <patternFill patternType="solid">
        <fgColor rgb="0014181F"/>
      </patternFill>
    </fill>
    <fill>
      <patternFill patternType="solid">
        <fgColor rgb="00FFF4DE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top style="medium">
        <color rgb="0014181F"/>
      </top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2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" fontId="7" fillId="0" borderId="0" pivotButton="0" quotePrefix="0" xfId="0"/>
    <xf numFmtId="3" fontId="8" fillId="0" borderId="0" pivotButton="0" quotePrefix="0" xfId="0"/>
    <xf numFmtId="3" fontId="9" fillId="0" borderId="0" pivotButton="0" quotePrefix="0" xfId="0"/>
    <xf numFmtId="3" fontId="10" fillId="0" borderId="0" pivotButton="0" quotePrefix="0" xfId="0"/>
    <xf numFmtId="168" fontId="9" fillId="0" borderId="0" pivotButton="0" quotePrefix="0" xfId="0"/>
    <xf numFmtId="167" fontId="9" fillId="0" borderId="0" pivotButton="0" quotePrefix="0" xfId="0"/>
    <xf numFmtId="167" fontId="10" fillId="0" borderId="0" pivotButton="0" quotePrefix="0" xfId="0"/>
    <xf numFmtId="0" fontId="2" fillId="4" borderId="0" pivotButton="0" quotePrefix="0" xfId="0"/>
    <xf numFmtId="0" fontId="6" fillId="4" borderId="0" pivotButton="0" quotePrefix="0" xfId="0"/>
    <xf numFmtId="167" fontId="10" fillId="4" borderId="0" pivotButton="0" quotePrefix="0" xfId="0"/>
    <xf numFmtId="0" fontId="2" fillId="0" borderId="1" pivotButton="0" quotePrefix="0" xfId="0"/>
    <xf numFmtId="167" fontId="10" fillId="0" borderId="1" pivotButton="0" quotePrefix="0" xfId="0"/>
    <xf numFmtId="0" fontId="2" fillId="4" borderId="1" pivotButton="0" quotePrefix="0" xfId="0"/>
    <xf numFmtId="167" fontId="10" fillId="4" borderId="1" pivotButton="0" quotePrefix="0" xfId="0"/>
    <xf numFmtId="164" fontId="9" fillId="0" borderId="0" pivotButton="0" quotePrefix="0" xfId="0"/>
    <xf numFmtId="167" fontId="11" fillId="0" borderId="0" pivotButton="0" quotePrefix="0" xfId="0"/>
    <xf numFmtId="167" fontId="8" fillId="0" borderId="0" pivotButton="0" quotePrefix="0" xfId="0"/>
    <xf numFmtId="167" fontId="12" fillId="0" borderId="0" pivotButton="0" quotePrefix="0" xfId="0"/>
    <xf numFmtId="167" fontId="13" fillId="0" borderId="1" pivotButton="0" quotePrefix="0" xfId="0"/>
    <xf numFmtId="164" fontId="10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164" fontId="3" fillId="2" borderId="0" pivotButton="0" quotePrefix="0" xfId="0"/>
    <xf numFmtId="167" fontId="0" fillId="0" borderId="0" pivotButton="0" quotePrefix="0" xfId="0"/>
    <xf numFmtId="0" fontId="14" fillId="0" borderId="0" pivotButton="0" quotePrefix="0" xfId="0"/>
    <xf numFmtId="3" fontId="15" fillId="0" borderId="0" pivotButton="0" quotePrefix="0" xfId="0"/>
    <xf numFmtId="167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Stride — Financial Model</t>
        </is>
      </c>
    </row>
    <row r="2">
      <c r="A2" t="inlineStr"/>
    </row>
    <row r="3">
      <c r="A3" s="2" t="inlineStr">
        <is>
          <t>10-year operating model, three statements, and a valuation. EUR. Y1 = 2027.</t>
        </is>
      </c>
    </row>
    <row r="4">
      <c r="A4" t="inlineStr"/>
    </row>
    <row r="5">
      <c r="A5" s="2" t="inlineStr">
        <is>
          <t>HOW TO USE</t>
        </is>
      </c>
    </row>
    <row r="6">
      <c r="A6" t="inlineStr">
        <is>
          <t>Change any BLUE cell on the Assumptions sheet. Everything else recalculates.</t>
        </is>
      </c>
    </row>
    <row r="7">
      <c r="A7" t="inlineStr">
        <is>
          <t>Every non-input cell is a formula, so you can trace any number back to the inputs</t>
        </is>
      </c>
    </row>
    <row r="8">
      <c r="A8" t="inlineStr">
        <is>
          <t>that produced it — select a cell and use Formulas &gt; Trace Precedents.</t>
        </is>
      </c>
    </row>
    <row r="9">
      <c r="A9" t="inlineStr"/>
    </row>
    <row r="10">
      <c r="A10" s="2" t="inlineStr">
        <is>
          <t>COLOURS</t>
        </is>
      </c>
    </row>
    <row r="11">
      <c r="A11" t="inlineStr">
        <is>
          <t xml:space="preserve">  BLUE    an input. These are the only cells you should type into.</t>
        </is>
      </c>
    </row>
    <row r="12">
      <c r="A12" t="inlineStr">
        <is>
          <t xml:space="preserve">  BLACK   a formula on this sheet.</t>
        </is>
      </c>
    </row>
    <row r="13">
      <c r="A13" t="inlineStr">
        <is>
          <t xml:space="preserve">  GREEN   a reference to another sheet.</t>
        </is>
      </c>
    </row>
    <row r="14">
      <c r="A14" t="inlineStr"/>
    </row>
    <row r="15">
      <c r="A15" s="2" t="inlineStr">
        <is>
          <t>SHEETS</t>
        </is>
      </c>
    </row>
    <row r="16">
      <c r="A16" t="inlineStr">
        <is>
          <t xml:space="preserve">  Assumptions    every input, grouped, with units and provenance</t>
        </is>
      </c>
    </row>
    <row r="17">
      <c r="A17" t="inlineStr">
        <is>
          <t xml:space="preserve">  Drivers        athletes and fans, including monthly cohort churn</t>
        </is>
      </c>
    </row>
    <row r="18">
      <c r="A18" t="inlineStr">
        <is>
          <t xml:space="preserve">  Revenue        GMV and net revenue, stream by stream</t>
        </is>
      </c>
    </row>
    <row r="19">
      <c r="A19" t="inlineStr">
        <is>
          <t xml:space="preserve">  Costs          COGS and operating costs, line by line</t>
        </is>
      </c>
    </row>
    <row r="20">
      <c r="A20" t="inlineStr">
        <is>
          <t xml:space="preserve">  P&amp;L            income statement</t>
        </is>
      </c>
    </row>
    <row r="21">
      <c r="A21" t="inlineStr">
        <is>
          <t xml:space="preserve">  WorkingCap     receivables, payables, athlete float, capex, D&amp;A</t>
        </is>
      </c>
    </row>
    <row r="22">
      <c r="A22" t="inlineStr">
        <is>
          <t xml:space="preserve">  CashFlow       indirect method, tying to closing cash</t>
        </is>
      </c>
    </row>
    <row r="23">
      <c r="A23" t="inlineStr">
        <is>
          <t xml:space="preserve">  BalanceSheet   with an explicit balance check row</t>
        </is>
      </c>
    </row>
    <row r="24">
      <c r="A24" t="inlineStr">
        <is>
          <t xml:space="preserve">  Valuation      DCF, NPV, IRR, exit multiples, sensitivity</t>
        </is>
      </c>
    </row>
    <row r="25">
      <c r="A25" t="inlineStr">
        <is>
          <t xml:space="preserve">  Funding        rounds, dilution, ownership</t>
        </is>
      </c>
    </row>
    <row r="26">
      <c r="A26" t="inlineStr">
        <is>
          <t xml:space="preserve">  Check          the Python model's figures, to verify the formulas agree</t>
        </is>
      </c>
    </row>
    <row r="27">
      <c r="A27" t="inlineStr"/>
    </row>
    <row r="28">
      <c r="A28" s="2" t="inlineStr">
        <is>
          <t>WHY TEN YEARS</t>
        </is>
      </c>
    </row>
    <row r="29">
      <c r="A29" t="inlineStr">
        <is>
          <t>At Y7 the business is still compounding above 50%, so a terminal value placed</t>
        </is>
      </c>
    </row>
    <row r="30">
      <c r="A30" t="inlineStr">
        <is>
          <t>there does most of the valuation work and does it badly. Ten years lets growth</t>
        </is>
      </c>
    </row>
    <row r="31">
      <c r="A31" t="inlineStr">
        <is>
          <t>decelerate inside the explicit forecast, where it can be argued with.</t>
        </is>
      </c>
    </row>
    <row r="32">
      <c r="A32" t="inlineStr"/>
    </row>
    <row r="33">
      <c r="A33" s="2" t="inlineStr">
        <is>
          <t>MODEL SHAPE</t>
        </is>
      </c>
    </row>
    <row r="34">
      <c r="A34" t="inlineStr">
        <is>
          <t>This is a target-driven model: athlete counts are the plan, and marketing spend</t>
        </is>
      </c>
    </row>
    <row r="35">
      <c r="A35" t="inlineStr">
        <is>
          <t>is derived from them at segment CAC. It is not a driver-driven model in which</t>
        </is>
      </c>
    </row>
    <row r="36">
      <c r="A36" t="inlineStr">
        <is>
          <t>spend produces athletes. That is the normal shape for a plan, but it means the</t>
        </is>
      </c>
    </row>
    <row r="37">
      <c r="A37" t="inlineStr">
        <is>
          <t>athlete trajectory is an assumption to defend, not an output to trust.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Assumptions — every input lives here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MARKET — the plan's shape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Active athletes (year end)</t>
        </is>
      </c>
      <c r="B5" s="8" t="inlineStr">
        <is>
          <t>count</t>
        </is>
      </c>
      <c r="C5" s="9" t="n">
        <v>400</v>
      </c>
      <c r="D5" s="9" t="n">
        <v>1800</v>
      </c>
      <c r="E5" s="9" t="n">
        <v>5500</v>
      </c>
      <c r="F5" s="9" t="n">
        <v>13000</v>
      </c>
      <c r="G5" s="9" t="n">
        <v>25000</v>
      </c>
      <c r="H5" s="9" t="n">
        <v>38000</v>
      </c>
      <c r="I5" s="9" t="n">
        <v>52000</v>
      </c>
      <c r="J5" s="9" t="n">
        <v>65000</v>
      </c>
      <c r="K5" s="9" t="n">
        <v>76000</v>
      </c>
      <c r="L5" s="9" t="n">
        <v>85000</v>
      </c>
    </row>
    <row r="6">
      <c r="A6" s="7" t="inlineStr">
        <is>
          <t>Niche share of athletes</t>
        </is>
      </c>
      <c r="B6" s="8" t="inlineStr">
        <is>
          <t>%</t>
        </is>
      </c>
      <c r="C6" s="10" t="n">
        <v>0.95</v>
      </c>
      <c r="D6" s="10" t="n">
        <v>0.92</v>
      </c>
      <c r="E6" s="10" t="n">
        <v>0.8</v>
      </c>
      <c r="F6" s="10" t="n">
        <v>0.68</v>
      </c>
      <c r="G6" s="10" t="n">
        <v>0.58</v>
      </c>
      <c r="H6" s="10" t="n">
        <v>0.5</v>
      </c>
      <c r="I6" s="10" t="n">
        <v>0.45</v>
      </c>
      <c r="J6" s="10" t="n">
        <v>0.43</v>
      </c>
      <c r="K6" s="10" t="n">
        <v>0.42</v>
      </c>
      <c r="L6" s="10" t="n">
        <v>0.41</v>
      </c>
    </row>
    <row r="8">
      <c r="A8" s="5" t="inlineStr">
        <is>
          <t>SEGMENT — NICHE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7" t="inlineStr">
        <is>
          <t>Monetising athletes (niche)</t>
        </is>
      </c>
      <c r="B9" s="8" t="inlineStr">
        <is>
          <t>% of segment</t>
        </is>
      </c>
      <c r="C9" s="10" t="n">
        <v>0.28</v>
      </c>
      <c r="D9" s="10" t="n">
        <v>0.32</v>
      </c>
      <c r="E9" s="10" t="n">
        <v>0.37</v>
      </c>
      <c r="F9" s="10" t="n">
        <v>0.41</v>
      </c>
      <c r="G9" s="10" t="n">
        <v>0.44</v>
      </c>
      <c r="H9" s="10" t="n">
        <v>0.46</v>
      </c>
      <c r="I9" s="10" t="n">
        <v>0.48</v>
      </c>
      <c r="J9" s="10" t="n">
        <v>0.49</v>
      </c>
      <c r="K9" s="10" t="n">
        <v>0.5</v>
      </c>
      <c r="L9" s="10" t="n">
        <v>0.5</v>
      </c>
    </row>
    <row r="10">
      <c r="A10" s="7" t="inlineStr">
        <is>
          <t>Paying fans per monetising athlete (niche)</t>
        </is>
      </c>
      <c r="B10" s="8" t="inlineStr">
        <is>
          <t>count</t>
        </is>
      </c>
      <c r="C10" s="9" t="n">
        <v>20</v>
      </c>
      <c r="D10" s="9" t="n">
        <v>22</v>
      </c>
      <c r="E10" s="9" t="n">
        <v>25</v>
      </c>
      <c r="F10" s="9" t="n">
        <v>28</v>
      </c>
      <c r="G10" s="9" t="n">
        <v>30</v>
      </c>
      <c r="H10" s="9" t="n">
        <v>32</v>
      </c>
      <c r="I10" s="9" t="n">
        <v>34</v>
      </c>
      <c r="J10" s="9" t="n">
        <v>35</v>
      </c>
      <c r="K10" s="9" t="n">
        <v>36</v>
      </c>
      <c r="L10" s="9" t="n">
        <v>37</v>
      </c>
    </row>
    <row r="11">
      <c r="A11" s="7" t="inlineStr">
        <is>
          <t>Fan ARPU per month (niche)</t>
        </is>
      </c>
      <c r="B11" s="8" t="inlineStr">
        <is>
          <t>EUR</t>
        </is>
      </c>
      <c r="C11" s="11" t="n">
        <v>8</v>
      </c>
      <c r="D11" s="11" t="n">
        <v>8.300000000000001</v>
      </c>
      <c r="E11" s="11" t="n">
        <v>8.6</v>
      </c>
      <c r="F11" s="11" t="n">
        <v>8.800000000000001</v>
      </c>
      <c r="G11" s="11" t="n">
        <v>9</v>
      </c>
      <c r="H11" s="11" t="n">
        <v>9.1</v>
      </c>
      <c r="I11" s="11" t="n">
        <v>9.199999999999999</v>
      </c>
      <c r="J11" s="11" t="n">
        <v>9.300000000000001</v>
      </c>
      <c r="K11" s="11" t="n">
        <v>9.4</v>
      </c>
      <c r="L11" s="11" t="n">
        <v>9.5</v>
      </c>
    </row>
    <row r="12">
      <c r="A12" s="7" t="inlineStr">
        <is>
          <t>Fan churn per month (niche)</t>
        </is>
      </c>
      <c r="B12" s="8" t="inlineStr">
        <is>
          <t>%</t>
        </is>
      </c>
      <c r="C12" s="10" t="n">
        <v>0.09</v>
      </c>
      <c r="D12" s="10" t="n">
        <v>0.08500000000000001</v>
      </c>
      <c r="E12" s="10" t="n">
        <v>0.08</v>
      </c>
      <c r="F12" s="10" t="n">
        <v>0.075</v>
      </c>
      <c r="G12" s="10" t="n">
        <v>0.07000000000000001</v>
      </c>
      <c r="H12" s="10" t="n">
        <v>0.065</v>
      </c>
      <c r="I12" s="10" t="n">
        <v>0.06</v>
      </c>
      <c r="J12" s="10" t="n">
        <v>0.058</v>
      </c>
      <c r="K12" s="10" t="n">
        <v>0.056</v>
      </c>
      <c r="L12" s="10" t="n">
        <v>0.055</v>
      </c>
    </row>
    <row r="13">
      <c r="A13" s="7" t="inlineStr">
        <is>
          <t>Athlete churn per year (niche)</t>
        </is>
      </c>
      <c r="B13" s="8" t="inlineStr">
        <is>
          <t>%</t>
        </is>
      </c>
      <c r="C13" s="10" t="n">
        <v>0.3</v>
      </c>
      <c r="D13" s="10" t="n">
        <v>0.27</v>
      </c>
      <c r="E13" s="10" t="n">
        <v>0.24</v>
      </c>
      <c r="F13" s="10" t="n">
        <v>0.22</v>
      </c>
      <c r="G13" s="10" t="n">
        <v>0.2</v>
      </c>
      <c r="H13" s="10" t="n">
        <v>0.19</v>
      </c>
      <c r="I13" s="10" t="n">
        <v>0.18</v>
      </c>
      <c r="J13" s="10" t="n">
        <v>0.17</v>
      </c>
      <c r="K13" s="10" t="n">
        <v>0.16</v>
      </c>
      <c r="L13" s="10" t="n">
        <v>0.16</v>
      </c>
    </row>
    <row r="14">
      <c r="A14" s="7" t="inlineStr">
        <is>
          <t>Athletes landing a deal (niche)</t>
        </is>
      </c>
      <c r="B14" s="8" t="inlineStr">
        <is>
          <t>% of segment</t>
        </is>
      </c>
      <c r="C14" s="10" t="n">
        <v>0.05</v>
      </c>
      <c r="D14" s="10" t="n">
        <v>0.07000000000000001</v>
      </c>
      <c r="E14" s="10" t="n">
        <v>0.09</v>
      </c>
      <c r="F14" s="10" t="n">
        <v>0.11</v>
      </c>
      <c r="G14" s="10" t="n">
        <v>0.13</v>
      </c>
      <c r="H14" s="10" t="n">
        <v>0.15</v>
      </c>
      <c r="I14" s="10" t="n">
        <v>0.16</v>
      </c>
      <c r="J14" s="10" t="n">
        <v>0.17</v>
      </c>
      <c r="K14" s="10" t="n">
        <v>0.17</v>
      </c>
      <c r="L14" s="10" t="n">
        <v>0.18</v>
      </c>
    </row>
    <row r="15">
      <c r="A15" s="7" t="inlineStr">
        <is>
          <t>Deals per dealing athlete (niche)</t>
        </is>
      </c>
      <c r="B15" s="8" t="inlineStr">
        <is>
          <t>count</t>
        </is>
      </c>
      <c r="C15" s="12" t="n">
        <v>1.1</v>
      </c>
      <c r="D15" s="12" t="n">
        <v>1.2</v>
      </c>
      <c r="E15" s="12" t="n">
        <v>1.3</v>
      </c>
      <c r="F15" s="12" t="n">
        <v>1.5</v>
      </c>
      <c r="G15" s="12" t="n">
        <v>1.6</v>
      </c>
      <c r="H15" s="12" t="n">
        <v>1.7</v>
      </c>
      <c r="I15" s="12" t="n">
        <v>1.8</v>
      </c>
      <c r="J15" s="12" t="n">
        <v>1.9</v>
      </c>
      <c r="K15" s="12" t="n">
        <v>1.9</v>
      </c>
      <c r="L15" s="12" t="n">
        <v>2</v>
      </c>
    </row>
    <row r="16">
      <c r="A16" s="7" t="inlineStr">
        <is>
          <t>Average deal value (niche)</t>
        </is>
      </c>
      <c r="B16" s="8" t="inlineStr">
        <is>
          <t>EUR</t>
        </is>
      </c>
      <c r="C16" s="13" t="n">
        <v>900</v>
      </c>
      <c r="D16" s="13" t="n">
        <v>1050</v>
      </c>
      <c r="E16" s="13" t="n">
        <v>1200</v>
      </c>
      <c r="F16" s="13" t="n">
        <v>1350</v>
      </c>
      <c r="G16" s="13" t="n">
        <v>1500</v>
      </c>
      <c r="H16" s="13" t="n">
        <v>1600</v>
      </c>
      <c r="I16" s="13" t="n">
        <v>1700</v>
      </c>
      <c r="J16" s="13" t="n">
        <v>1800</v>
      </c>
      <c r="K16" s="13" t="n">
        <v>1900</v>
      </c>
      <c r="L16" s="13" t="n">
        <v>2000</v>
      </c>
    </row>
    <row r="17">
      <c r="A17" s="7" t="inlineStr">
        <is>
          <t>Athlete CAC (niche)</t>
        </is>
      </c>
      <c r="B17" s="8" t="inlineStr">
        <is>
          <t>EUR</t>
        </is>
      </c>
      <c r="C17" s="13" t="n">
        <v>16</v>
      </c>
      <c r="D17" s="13" t="n">
        <v>18</v>
      </c>
      <c r="E17" s="13" t="n">
        <v>21</v>
      </c>
      <c r="F17" s="13" t="n">
        <v>24</v>
      </c>
      <c r="G17" s="13" t="n">
        <v>27</v>
      </c>
      <c r="H17" s="13" t="n">
        <v>30</v>
      </c>
      <c r="I17" s="13" t="n">
        <v>32</v>
      </c>
      <c r="J17" s="13" t="n">
        <v>34</v>
      </c>
      <c r="K17" s="13" t="n">
        <v>35</v>
      </c>
      <c r="L17" s="13" t="n">
        <v>36</v>
      </c>
    </row>
    <row r="19">
      <c r="A19" s="5" t="inlineStr">
        <is>
          <t>SEGMENT — POPULAR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7" t="inlineStr">
        <is>
          <t>Monetising athletes (popular)</t>
        </is>
      </c>
      <c r="B20" s="8" t="inlineStr">
        <is>
          <t>% of segment</t>
        </is>
      </c>
      <c r="C20" s="10" t="n">
        <v>0.14</v>
      </c>
      <c r="D20" s="10" t="n">
        <v>0.17</v>
      </c>
      <c r="E20" s="10" t="n">
        <v>0.2</v>
      </c>
      <c r="F20" s="10" t="n">
        <v>0.23</v>
      </c>
      <c r="G20" s="10" t="n">
        <v>0.26</v>
      </c>
      <c r="H20" s="10" t="n">
        <v>0.28</v>
      </c>
      <c r="I20" s="10" t="n">
        <v>0.3</v>
      </c>
      <c r="J20" s="10" t="n">
        <v>0.31</v>
      </c>
      <c r="K20" s="10" t="n">
        <v>0.32</v>
      </c>
      <c r="L20" s="10" t="n">
        <v>0.32</v>
      </c>
    </row>
    <row r="21">
      <c r="A21" s="7" t="inlineStr">
        <is>
          <t>Paying fans per monetising athlete (popular)</t>
        </is>
      </c>
      <c r="B21" s="8" t="inlineStr">
        <is>
          <t>count</t>
        </is>
      </c>
      <c r="C21" s="9" t="n">
        <v>26</v>
      </c>
      <c r="D21" s="9" t="n">
        <v>29</v>
      </c>
      <c r="E21" s="9" t="n">
        <v>32</v>
      </c>
      <c r="F21" s="9" t="n">
        <v>35</v>
      </c>
      <c r="G21" s="9" t="n">
        <v>38</v>
      </c>
      <c r="H21" s="9" t="n">
        <v>41</v>
      </c>
      <c r="I21" s="9" t="n">
        <v>44</v>
      </c>
      <c r="J21" s="9" t="n">
        <v>46</v>
      </c>
      <c r="K21" s="9" t="n">
        <v>47</v>
      </c>
      <c r="L21" s="9" t="n">
        <v>48</v>
      </c>
    </row>
    <row r="22">
      <c r="A22" s="7" t="inlineStr">
        <is>
          <t>Fan ARPU per month (popular)</t>
        </is>
      </c>
      <c r="B22" s="8" t="inlineStr">
        <is>
          <t>EUR</t>
        </is>
      </c>
      <c r="C22" s="11" t="n">
        <v>7</v>
      </c>
      <c r="D22" s="11" t="n">
        <v>7.2</v>
      </c>
      <c r="E22" s="11" t="n">
        <v>7.4</v>
      </c>
      <c r="F22" s="11" t="n">
        <v>7.6</v>
      </c>
      <c r="G22" s="11" t="n">
        <v>7.8</v>
      </c>
      <c r="H22" s="11" t="n">
        <v>7.9</v>
      </c>
      <c r="I22" s="11" t="n">
        <v>8</v>
      </c>
      <c r="J22" s="11" t="n">
        <v>8.1</v>
      </c>
      <c r="K22" s="11" t="n">
        <v>8.199999999999999</v>
      </c>
      <c r="L22" s="11" t="n">
        <v>8.300000000000001</v>
      </c>
    </row>
    <row r="23">
      <c r="A23" s="7" t="inlineStr">
        <is>
          <t>Fan churn per month (popular)</t>
        </is>
      </c>
      <c r="B23" s="8" t="inlineStr">
        <is>
          <t>%</t>
        </is>
      </c>
      <c r="C23" s="10" t="n">
        <v>0.13</v>
      </c>
      <c r="D23" s="10" t="n">
        <v>0.125</v>
      </c>
      <c r="E23" s="10" t="n">
        <v>0.12</v>
      </c>
      <c r="F23" s="10" t="n">
        <v>0.11</v>
      </c>
      <c r="G23" s="10" t="n">
        <v>0.105</v>
      </c>
      <c r="H23" s="10" t="n">
        <v>0.1</v>
      </c>
      <c r="I23" s="10" t="n">
        <v>0.09</v>
      </c>
      <c r="J23" s="10" t="n">
        <v>0.08799999999999999</v>
      </c>
      <c r="K23" s="10" t="n">
        <v>0.08599999999999999</v>
      </c>
      <c r="L23" s="10" t="n">
        <v>0.08500000000000001</v>
      </c>
    </row>
    <row r="24">
      <c r="A24" s="7" t="inlineStr">
        <is>
          <t>Athlete churn per year (popular)</t>
        </is>
      </c>
      <c r="B24" s="8" t="inlineStr">
        <is>
          <t>%</t>
        </is>
      </c>
      <c r="C24" s="10" t="n">
        <v>0.35</v>
      </c>
      <c r="D24" s="10" t="n">
        <v>0.32</v>
      </c>
      <c r="E24" s="10" t="n">
        <v>0.3</v>
      </c>
      <c r="F24" s="10" t="n">
        <v>0.27</v>
      </c>
      <c r="G24" s="10" t="n">
        <v>0.25</v>
      </c>
      <c r="H24" s="10" t="n">
        <v>0.23</v>
      </c>
      <c r="I24" s="10" t="n">
        <v>0.22</v>
      </c>
      <c r="J24" s="10" t="n">
        <v>0.21</v>
      </c>
      <c r="K24" s="10" t="n">
        <v>0.21</v>
      </c>
      <c r="L24" s="10" t="n">
        <v>0.2</v>
      </c>
    </row>
    <row r="25">
      <c r="A25" s="7" t="inlineStr">
        <is>
          <t>Athletes landing a deal (popular)</t>
        </is>
      </c>
      <c r="B25" s="8" t="inlineStr">
        <is>
          <t>% of segment</t>
        </is>
      </c>
      <c r="C25" s="10" t="n">
        <v>0.14</v>
      </c>
      <c r="D25" s="10" t="n">
        <v>0.17</v>
      </c>
      <c r="E25" s="10" t="n">
        <v>0.2</v>
      </c>
      <c r="F25" s="10" t="n">
        <v>0.24</v>
      </c>
      <c r="G25" s="10" t="n">
        <v>0.27</v>
      </c>
      <c r="H25" s="10" t="n">
        <v>0.29</v>
      </c>
      <c r="I25" s="10" t="n">
        <v>0.3</v>
      </c>
      <c r="J25" s="10" t="n">
        <v>0.31</v>
      </c>
      <c r="K25" s="10" t="n">
        <v>0.31</v>
      </c>
      <c r="L25" s="10" t="n">
        <v>0.32</v>
      </c>
    </row>
    <row r="26">
      <c r="A26" s="7" t="inlineStr">
        <is>
          <t>Deals per dealing athlete (popular)</t>
        </is>
      </c>
      <c r="B26" s="8" t="inlineStr">
        <is>
          <t>count</t>
        </is>
      </c>
      <c r="C26" s="12" t="n">
        <v>1.3</v>
      </c>
      <c r="D26" s="12" t="n">
        <v>1.5</v>
      </c>
      <c r="E26" s="12" t="n">
        <v>1.7</v>
      </c>
      <c r="F26" s="12" t="n">
        <v>1.9</v>
      </c>
      <c r="G26" s="12" t="n">
        <v>2.1</v>
      </c>
      <c r="H26" s="12" t="n">
        <v>2.3</v>
      </c>
      <c r="I26" s="12" t="n">
        <v>2.4</v>
      </c>
      <c r="J26" s="12" t="n">
        <v>2.5</v>
      </c>
      <c r="K26" s="12" t="n">
        <v>2.5</v>
      </c>
      <c r="L26" s="12" t="n">
        <v>2.6</v>
      </c>
    </row>
    <row r="27">
      <c r="A27" s="7" t="inlineStr">
        <is>
          <t>Average deal value (popular)</t>
        </is>
      </c>
      <c r="B27" s="8" t="inlineStr">
        <is>
          <t>EUR</t>
        </is>
      </c>
      <c r="C27" s="13" t="n">
        <v>2200</v>
      </c>
      <c r="D27" s="13" t="n">
        <v>2500</v>
      </c>
      <c r="E27" s="13" t="n">
        <v>2800</v>
      </c>
      <c r="F27" s="13" t="n">
        <v>3100</v>
      </c>
      <c r="G27" s="13" t="n">
        <v>3400</v>
      </c>
      <c r="H27" s="13" t="n">
        <v>3700</v>
      </c>
      <c r="I27" s="13" t="n">
        <v>4000</v>
      </c>
      <c r="J27" s="13" t="n">
        <v>4200</v>
      </c>
      <c r="K27" s="13" t="n">
        <v>4400</v>
      </c>
      <c r="L27" s="13" t="n">
        <v>4600</v>
      </c>
    </row>
    <row r="28">
      <c r="A28" s="7" t="inlineStr">
        <is>
          <t>Athlete CAC (popular)</t>
        </is>
      </c>
      <c r="B28" s="8" t="inlineStr">
        <is>
          <t>EUR</t>
        </is>
      </c>
      <c r="C28" s="13" t="n">
        <v>40</v>
      </c>
      <c r="D28" s="13" t="n">
        <v>46</v>
      </c>
      <c r="E28" s="13" t="n">
        <v>53</v>
      </c>
      <c r="F28" s="13" t="n">
        <v>60</v>
      </c>
      <c r="G28" s="13" t="n">
        <v>67</v>
      </c>
      <c r="H28" s="13" t="n">
        <v>73</v>
      </c>
      <c r="I28" s="13" t="n">
        <v>78</v>
      </c>
      <c r="J28" s="13" t="n">
        <v>82</v>
      </c>
      <c r="K28" s="13" t="n">
        <v>85</v>
      </c>
      <c r="L28" s="13" t="n">
        <v>88</v>
      </c>
    </row>
    <row r="30">
      <c r="A30" s="5" t="inlineStr">
        <is>
          <t>SPONSORS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7" t="inlineStr">
        <is>
          <t>Registered sponsors</t>
        </is>
      </c>
      <c r="B31" s="8" t="inlineStr">
        <is>
          <t>count</t>
        </is>
      </c>
      <c r="C31" s="9" t="n">
        <v>25</v>
      </c>
      <c r="D31" s="9" t="n">
        <v>110</v>
      </c>
      <c r="E31" s="9" t="n">
        <v>340</v>
      </c>
      <c r="F31" s="9" t="n">
        <v>800</v>
      </c>
      <c r="G31" s="9" t="n">
        <v>1500</v>
      </c>
      <c r="H31" s="9" t="n">
        <v>2400</v>
      </c>
      <c r="I31" s="9" t="n">
        <v>3500</v>
      </c>
      <c r="J31" s="9" t="n">
        <v>4600</v>
      </c>
      <c r="K31" s="9" t="n">
        <v>5600</v>
      </c>
      <c r="L31" s="9" t="n">
        <v>6400</v>
      </c>
    </row>
    <row r="32">
      <c r="A32" s="7" t="inlineStr">
        <is>
          <t>Share on a paid plan</t>
        </is>
      </c>
      <c r="B32" s="8" t="inlineStr">
        <is>
          <t>%</t>
        </is>
      </c>
      <c r="C32" s="10" t="n">
        <v>0.1</v>
      </c>
      <c r="D32" s="10" t="n">
        <v>0.14</v>
      </c>
      <c r="E32" s="10" t="n">
        <v>0.17</v>
      </c>
      <c r="F32" s="10" t="n">
        <v>0.19</v>
      </c>
      <c r="G32" s="10" t="n">
        <v>0.2</v>
      </c>
      <c r="H32" s="10" t="n">
        <v>0.2</v>
      </c>
      <c r="I32" s="10" t="n">
        <v>0.2</v>
      </c>
      <c r="J32" s="10" t="n">
        <v>0.2</v>
      </c>
      <c r="K32" s="10" t="n">
        <v>0.2</v>
      </c>
      <c r="L32" s="10" t="n">
        <v>0.2</v>
      </c>
    </row>
    <row r="33">
      <c r="A33" s="7" t="inlineStr">
        <is>
          <t>Sponsor plan ARPU per month</t>
        </is>
      </c>
      <c r="B33" s="8" t="inlineStr">
        <is>
          <t>EUR</t>
        </is>
      </c>
      <c r="C33" s="13" t="n">
        <v>199</v>
      </c>
      <c r="D33" s="13" t="n">
        <v>229</v>
      </c>
      <c r="E33" s="13" t="n">
        <v>260</v>
      </c>
      <c r="F33" s="13" t="n">
        <v>290</v>
      </c>
      <c r="G33" s="13" t="n">
        <v>320</v>
      </c>
      <c r="H33" s="13" t="n">
        <v>360</v>
      </c>
      <c r="I33" s="13" t="n">
        <v>400</v>
      </c>
      <c r="J33" s="13" t="n">
        <v>430</v>
      </c>
      <c r="K33" s="13" t="n">
        <v>455</v>
      </c>
      <c r="L33" s="13" t="n">
        <v>475</v>
      </c>
    </row>
    <row r="34">
      <c r="A34" s="7" t="inlineStr">
        <is>
          <t>Sponsor CAC</t>
        </is>
      </c>
      <c r="B34" s="8" t="inlineStr">
        <is>
          <t>EUR</t>
        </is>
      </c>
      <c r="C34" s="13" t="n">
        <v>900</v>
      </c>
      <c r="D34" s="13" t="n">
        <v>1050</v>
      </c>
      <c r="E34" s="13" t="n">
        <v>1200</v>
      </c>
      <c r="F34" s="13" t="n">
        <v>1400</v>
      </c>
      <c r="G34" s="13" t="n">
        <v>1600</v>
      </c>
      <c r="H34" s="13" t="n">
        <v>1750</v>
      </c>
      <c r="I34" s="13" t="n">
        <v>1900</v>
      </c>
      <c r="J34" s="13" t="n">
        <v>2000</v>
      </c>
      <c r="K34" s="13" t="n">
        <v>2100</v>
      </c>
      <c r="L34" s="13" t="n">
        <v>2200</v>
      </c>
    </row>
    <row r="36">
      <c r="A36" s="5" t="inlineStr">
        <is>
          <t>TAKE RATES &amp; PAYMENT RAILS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7" t="inlineStr">
        <is>
          <t>Take rate — fan revenue</t>
        </is>
      </c>
      <c r="B37" s="8" t="inlineStr">
        <is>
          <t>%</t>
        </is>
      </c>
      <c r="C37" s="10" t="n">
        <v>0.15</v>
      </c>
      <c r="D37" s="10" t="n">
        <v>0.15</v>
      </c>
      <c r="E37" s="10" t="n">
        <v>0.15</v>
      </c>
      <c r="F37" s="10" t="n">
        <v>0.15</v>
      </c>
      <c r="G37" s="10" t="n">
        <v>0.15</v>
      </c>
      <c r="H37" s="10" t="n">
        <v>0.15</v>
      </c>
      <c r="I37" s="10" t="n">
        <v>0.15</v>
      </c>
      <c r="J37" s="10" t="n">
        <v>0.15</v>
      </c>
      <c r="K37" s="10" t="n">
        <v>0.15</v>
      </c>
      <c r="L37" s="10" t="n">
        <v>0.15</v>
      </c>
    </row>
    <row r="38">
      <c r="A38" s="7" t="inlineStr">
        <is>
          <t>Take rate — sponsorship</t>
        </is>
      </c>
      <c r="B38" s="8" t="inlineStr">
        <is>
          <t>%</t>
        </is>
      </c>
      <c r="C38" s="10" t="n">
        <v>0.1</v>
      </c>
      <c r="D38" s="10" t="n">
        <v>0.1</v>
      </c>
      <c r="E38" s="10" t="n">
        <v>0.1</v>
      </c>
      <c r="F38" s="10" t="n">
        <v>0.1</v>
      </c>
      <c r="G38" s="10" t="n">
        <v>0.1</v>
      </c>
      <c r="H38" s="10" t="n">
        <v>0.1</v>
      </c>
      <c r="I38" s="10" t="n">
        <v>0.1</v>
      </c>
      <c r="J38" s="10" t="n">
        <v>0.1</v>
      </c>
      <c r="K38" s="10" t="n">
        <v>0.1</v>
      </c>
      <c r="L38" s="10" t="n">
        <v>0.1</v>
      </c>
    </row>
    <row r="39">
      <c r="A39" s="7" t="inlineStr">
        <is>
          <t>PPV &amp; tips as multiple of subs</t>
        </is>
      </c>
      <c r="B39" s="8" t="inlineStr">
        <is>
          <t>x</t>
        </is>
      </c>
      <c r="C39" s="14" t="n">
        <v>0.35</v>
      </c>
      <c r="D39" s="14" t="n">
        <v>0.35</v>
      </c>
      <c r="E39" s="14" t="n">
        <v>0.35</v>
      </c>
      <c r="F39" s="14" t="n">
        <v>0.35</v>
      </c>
      <c r="G39" s="14" t="n">
        <v>0.35</v>
      </c>
      <c r="H39" s="14" t="n">
        <v>0.35</v>
      </c>
      <c r="I39" s="14" t="n">
        <v>0.35</v>
      </c>
      <c r="J39" s="14" t="n">
        <v>0.35</v>
      </c>
      <c r="K39" s="14" t="n">
        <v>0.35</v>
      </c>
      <c r="L39" s="14" t="n">
        <v>0.35</v>
      </c>
    </row>
    <row r="40">
      <c r="A40" s="7" t="inlineStr">
        <is>
          <t>PSP percentage fee</t>
        </is>
      </c>
      <c r="B40" s="8" t="inlineStr">
        <is>
          <t>%</t>
        </is>
      </c>
      <c r="C40" s="15" t="n">
        <v>0.029</v>
      </c>
      <c r="D40" s="15" t="n">
        <v>0.029</v>
      </c>
      <c r="E40" s="15" t="n">
        <v>0.029</v>
      </c>
      <c r="F40" s="15" t="n">
        <v>0.029</v>
      </c>
      <c r="G40" s="15" t="n">
        <v>0.029</v>
      </c>
      <c r="H40" s="15" t="n">
        <v>0.029</v>
      </c>
      <c r="I40" s="15" t="n">
        <v>0.029</v>
      </c>
      <c r="J40" s="15" t="n">
        <v>0.029</v>
      </c>
      <c r="K40" s="15" t="n">
        <v>0.029</v>
      </c>
      <c r="L40" s="15" t="n">
        <v>0.029</v>
      </c>
    </row>
    <row r="41">
      <c r="A41" s="7" t="inlineStr">
        <is>
          <t>PSP fixed fee per transaction</t>
        </is>
      </c>
      <c r="B41" s="8" t="inlineStr">
        <is>
          <t>EUR</t>
        </is>
      </c>
      <c r="C41" s="11" t="n">
        <v>0.25</v>
      </c>
      <c r="D41" s="11" t="n">
        <v>0.25</v>
      </c>
      <c r="E41" s="11" t="n">
        <v>0.25</v>
      </c>
      <c r="F41" s="11" t="n">
        <v>0.25</v>
      </c>
      <c r="G41" s="11" t="n">
        <v>0.25</v>
      </c>
      <c r="H41" s="11" t="n">
        <v>0.25</v>
      </c>
      <c r="I41" s="11" t="n">
        <v>0.25</v>
      </c>
      <c r="J41" s="11" t="n">
        <v>0.25</v>
      </c>
      <c r="K41" s="11" t="n">
        <v>0.25</v>
      </c>
      <c r="L41" s="11" t="n">
        <v>0.25</v>
      </c>
    </row>
    <row r="42">
      <c r="A42" s="7" t="inlineStr">
        <is>
          <t>Payout percentage fee</t>
        </is>
      </c>
      <c r="B42" s="8" t="inlineStr">
        <is>
          <t>%</t>
        </is>
      </c>
      <c r="C42" s="15" t="n">
        <v>0.0025</v>
      </c>
      <c r="D42" s="15" t="n">
        <v>0.0025</v>
      </c>
      <c r="E42" s="15" t="n">
        <v>0.0025</v>
      </c>
      <c r="F42" s="15" t="n">
        <v>0.0025</v>
      </c>
      <c r="G42" s="15" t="n">
        <v>0.0025</v>
      </c>
      <c r="H42" s="15" t="n">
        <v>0.0025</v>
      </c>
      <c r="I42" s="15" t="n">
        <v>0.0025</v>
      </c>
      <c r="J42" s="15" t="n">
        <v>0.0025</v>
      </c>
      <c r="K42" s="15" t="n">
        <v>0.0025</v>
      </c>
      <c r="L42" s="15" t="n">
        <v>0.0025</v>
      </c>
    </row>
    <row r="43">
      <c r="A43" s="7" t="inlineStr">
        <is>
          <t>Payout fixed fee</t>
        </is>
      </c>
      <c r="B43" s="8" t="inlineStr">
        <is>
          <t>EUR</t>
        </is>
      </c>
      <c r="C43" s="11" t="n">
        <v>0.25</v>
      </c>
      <c r="D43" s="11" t="n">
        <v>0.25</v>
      </c>
      <c r="E43" s="11" t="n">
        <v>0.25</v>
      </c>
      <c r="F43" s="11" t="n">
        <v>0.25</v>
      </c>
      <c r="G43" s="11" t="n">
        <v>0.25</v>
      </c>
      <c r="H43" s="11" t="n">
        <v>0.25</v>
      </c>
      <c r="I43" s="11" t="n">
        <v>0.25</v>
      </c>
      <c r="J43" s="11" t="n">
        <v>0.25</v>
      </c>
      <c r="K43" s="11" t="n">
        <v>0.25</v>
      </c>
      <c r="L43" s="11" t="n">
        <v>0.25</v>
      </c>
    </row>
    <row r="44">
      <c r="A44" s="7" t="inlineStr">
        <is>
          <t>Average fan transaction</t>
        </is>
      </c>
      <c r="B44" s="8" t="inlineStr">
        <is>
          <t>EUR</t>
        </is>
      </c>
      <c r="C44" s="11" t="n">
        <v>9.199999999999999</v>
      </c>
      <c r="D44" s="11" t="n">
        <v>9.199999999999999</v>
      </c>
      <c r="E44" s="11" t="n">
        <v>9.199999999999999</v>
      </c>
      <c r="F44" s="11" t="n">
        <v>9.199999999999999</v>
      </c>
      <c r="G44" s="11" t="n">
        <v>9.199999999999999</v>
      </c>
      <c r="H44" s="11" t="n">
        <v>9.199999999999999</v>
      </c>
      <c r="I44" s="11" t="n">
        <v>9.199999999999999</v>
      </c>
      <c r="J44" s="11" t="n">
        <v>9.199999999999999</v>
      </c>
      <c r="K44" s="11" t="n">
        <v>9.199999999999999</v>
      </c>
      <c r="L44" s="11" t="n">
        <v>9.199999999999999</v>
      </c>
    </row>
    <row r="45">
      <c r="A45" s="7" t="inlineStr">
        <is>
          <t>Average deal transaction</t>
        </is>
      </c>
      <c r="B45" s="8" t="inlineStr">
        <is>
          <t>EUR</t>
        </is>
      </c>
      <c r="C45" s="13" t="n">
        <v>1800</v>
      </c>
      <c r="D45" s="13" t="n">
        <v>1800</v>
      </c>
      <c r="E45" s="13" t="n">
        <v>1800</v>
      </c>
      <c r="F45" s="13" t="n">
        <v>1800</v>
      </c>
      <c r="G45" s="13" t="n">
        <v>1800</v>
      </c>
      <c r="H45" s="13" t="n">
        <v>1800</v>
      </c>
      <c r="I45" s="13" t="n">
        <v>1800</v>
      </c>
      <c r="J45" s="13" t="n">
        <v>1800</v>
      </c>
      <c r="K45" s="13" t="n">
        <v>1800</v>
      </c>
      <c r="L45" s="13" t="n">
        <v>1800</v>
      </c>
    </row>
    <row r="47">
      <c r="A47" s="5" t="inlineStr">
        <is>
          <t>INFRASTRUCTURE &amp; CONTENT COSTS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7" t="inlineStr">
        <is>
          <t>AWS base cost per month</t>
        </is>
      </c>
      <c r="B48" s="8" t="inlineStr">
        <is>
          <t>EUR</t>
        </is>
      </c>
      <c r="C48" s="13" t="n">
        <v>180</v>
      </c>
      <c r="D48" s="13" t="n">
        <v>650</v>
      </c>
      <c r="E48" s="13" t="n">
        <v>2100</v>
      </c>
      <c r="F48" s="13" t="n">
        <v>5400</v>
      </c>
      <c r="G48" s="13" t="n">
        <v>11000</v>
      </c>
      <c r="H48" s="13" t="n">
        <v>17000</v>
      </c>
      <c r="I48" s="13" t="n">
        <v>24000</v>
      </c>
      <c r="J48" s="13" t="n">
        <v>30000</v>
      </c>
      <c r="K48" s="13" t="n">
        <v>35000</v>
      </c>
      <c r="L48" s="13" t="n">
        <v>39000</v>
      </c>
    </row>
    <row r="49">
      <c r="A49" s="7" t="inlineStr">
        <is>
          <t>Media GB per paying fan per month</t>
        </is>
      </c>
      <c r="B49" s="8" t="inlineStr">
        <is>
          <t>GB</t>
        </is>
      </c>
      <c r="C49" s="12" t="n">
        <v>1.8</v>
      </c>
      <c r="D49" s="12" t="n">
        <v>1.8</v>
      </c>
      <c r="E49" s="12" t="n">
        <v>1.8</v>
      </c>
      <c r="F49" s="12" t="n">
        <v>1.8</v>
      </c>
      <c r="G49" s="12" t="n">
        <v>1.8</v>
      </c>
      <c r="H49" s="12" t="n">
        <v>1.8</v>
      </c>
      <c r="I49" s="12" t="n">
        <v>1.8</v>
      </c>
      <c r="J49" s="12" t="n">
        <v>1.8</v>
      </c>
      <c r="K49" s="12" t="n">
        <v>1.8</v>
      </c>
      <c r="L49" s="12" t="n">
        <v>1.8</v>
      </c>
    </row>
    <row r="50">
      <c r="A50" s="7" t="inlineStr">
        <is>
          <t>Egress cost per GB (zero-egress CDN)</t>
        </is>
      </c>
      <c r="B50" s="8" t="inlineStr">
        <is>
          <t>EUR</t>
        </is>
      </c>
      <c r="C50" s="16" t="n">
        <v>0.008</v>
      </c>
      <c r="D50" s="16" t="n">
        <v>0.008</v>
      </c>
      <c r="E50" s="16" t="n">
        <v>0.008</v>
      </c>
      <c r="F50" s="16" t="n">
        <v>0.008</v>
      </c>
      <c r="G50" s="16" t="n">
        <v>0.008</v>
      </c>
      <c r="H50" s="16" t="n">
        <v>0.008</v>
      </c>
      <c r="I50" s="16" t="n">
        <v>0.008</v>
      </c>
      <c r="J50" s="16" t="n">
        <v>0.008</v>
      </c>
      <c r="K50" s="16" t="n">
        <v>0.008</v>
      </c>
      <c r="L50" s="16" t="n">
        <v>0.008</v>
      </c>
    </row>
    <row r="51">
      <c r="A51" s="7" t="inlineStr">
        <is>
          <t>Egress cost per GB (CloudFront list)</t>
        </is>
      </c>
      <c r="B51" s="8" t="inlineStr">
        <is>
          <t>EUR</t>
        </is>
      </c>
      <c r="C51" s="16" t="n">
        <v>0.075</v>
      </c>
      <c r="D51" s="16" t="n">
        <v>0.075</v>
      </c>
      <c r="E51" s="16" t="n">
        <v>0.075</v>
      </c>
      <c r="F51" s="16" t="n">
        <v>0.075</v>
      </c>
      <c r="G51" s="16" t="n">
        <v>0.075</v>
      </c>
      <c r="H51" s="16" t="n">
        <v>0.075</v>
      </c>
      <c r="I51" s="16" t="n">
        <v>0.075</v>
      </c>
      <c r="J51" s="16" t="n">
        <v>0.075</v>
      </c>
      <c r="K51" s="16" t="n">
        <v>0.075</v>
      </c>
      <c r="L51" s="16" t="n">
        <v>0.075</v>
      </c>
    </row>
    <row r="52">
      <c r="A52" s="7" t="inlineStr">
        <is>
          <t>Moderation cost per 1,000 items</t>
        </is>
      </c>
      <c r="B52" s="8" t="inlineStr">
        <is>
          <t>EUR</t>
        </is>
      </c>
      <c r="C52" s="11" t="n">
        <v>22</v>
      </c>
      <c r="D52" s="11" t="n">
        <v>22</v>
      </c>
      <c r="E52" s="11" t="n">
        <v>22</v>
      </c>
      <c r="F52" s="11" t="n">
        <v>22</v>
      </c>
      <c r="G52" s="11" t="n">
        <v>22</v>
      </c>
      <c r="H52" s="11" t="n">
        <v>22</v>
      </c>
      <c r="I52" s="11" t="n">
        <v>22</v>
      </c>
      <c r="J52" s="11" t="n">
        <v>22</v>
      </c>
      <c r="K52" s="11" t="n">
        <v>22</v>
      </c>
      <c r="L52" s="11" t="n">
        <v>22</v>
      </c>
    </row>
    <row r="53">
      <c r="A53" s="7" t="inlineStr">
        <is>
          <t>Items per athlete per month</t>
        </is>
      </c>
      <c r="B53" s="8" t="inlineStr">
        <is>
          <t>count</t>
        </is>
      </c>
      <c r="C53" s="12" t="n">
        <v>12</v>
      </c>
      <c r="D53" s="12" t="n">
        <v>12</v>
      </c>
      <c r="E53" s="12" t="n">
        <v>12</v>
      </c>
      <c r="F53" s="12" t="n">
        <v>12</v>
      </c>
      <c r="G53" s="12" t="n">
        <v>12</v>
      </c>
      <c r="H53" s="12" t="n">
        <v>12</v>
      </c>
      <c r="I53" s="12" t="n">
        <v>12</v>
      </c>
      <c r="J53" s="12" t="n">
        <v>12</v>
      </c>
      <c r="K53" s="12" t="n">
        <v>12</v>
      </c>
      <c r="L53" s="12" t="n">
        <v>12</v>
      </c>
    </row>
    <row r="55">
      <c r="A55" s="5" t="inlineStr">
        <is>
          <t>PEOPLE &amp; OVERHEAD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7" t="inlineStr">
        <is>
          <t>Headcount</t>
        </is>
      </c>
      <c r="B56" s="8" t="inlineStr">
        <is>
          <t>FTE</t>
        </is>
      </c>
      <c r="C56" s="12" t="n">
        <v>1.5</v>
      </c>
      <c r="D56" s="12" t="n">
        <v>3</v>
      </c>
      <c r="E56" s="12" t="n">
        <v>7</v>
      </c>
      <c r="F56" s="12" t="n">
        <v>14</v>
      </c>
      <c r="G56" s="12" t="n">
        <v>24</v>
      </c>
      <c r="H56" s="12" t="n">
        <v>36</v>
      </c>
      <c r="I56" s="12" t="n">
        <v>50</v>
      </c>
      <c r="J56" s="12" t="n">
        <v>62</v>
      </c>
      <c r="K56" s="12" t="n">
        <v>72</v>
      </c>
      <c r="L56" s="12" t="n">
        <v>80</v>
      </c>
    </row>
    <row r="57">
      <c r="A57" s="7" t="inlineStr">
        <is>
          <t>Loaded salary (incl. ~31% employer SS)</t>
        </is>
      </c>
      <c r="B57" s="8" t="inlineStr">
        <is>
          <t>EUR</t>
        </is>
      </c>
      <c r="C57" s="13" t="n">
        <v>38000</v>
      </c>
      <c r="D57" s="13" t="n">
        <v>52000</v>
      </c>
      <c r="E57" s="13" t="n">
        <v>60000</v>
      </c>
      <c r="F57" s="13" t="n">
        <v>64000</v>
      </c>
      <c r="G57" s="13" t="n">
        <v>66000</v>
      </c>
      <c r="H57" s="13" t="n">
        <v>68000</v>
      </c>
      <c r="I57" s="13" t="n">
        <v>70000</v>
      </c>
      <c r="J57" s="13" t="n">
        <v>72000</v>
      </c>
      <c r="K57" s="13" t="n">
        <v>74000</v>
      </c>
      <c r="L57" s="13" t="n">
        <v>76000</v>
      </c>
    </row>
    <row r="58">
      <c r="A58" s="7" t="inlineStr">
        <is>
          <t>Legal &amp; compliance</t>
        </is>
      </c>
      <c r="B58" s="8" t="inlineStr">
        <is>
          <t>EUR</t>
        </is>
      </c>
      <c r="C58" s="13" t="n">
        <v>18000</v>
      </c>
      <c r="D58" s="13" t="n">
        <v>45000</v>
      </c>
      <c r="E58" s="13" t="n">
        <v>90000</v>
      </c>
      <c r="F58" s="13" t="n">
        <v>150000</v>
      </c>
      <c r="G58" s="13" t="n">
        <v>200000</v>
      </c>
      <c r="H58" s="13" t="n">
        <v>235000</v>
      </c>
      <c r="I58" s="13" t="n">
        <v>270000</v>
      </c>
      <c r="J58" s="13" t="n">
        <v>300000</v>
      </c>
      <c r="K58" s="13" t="n">
        <v>325000</v>
      </c>
      <c r="L58" s="13" t="n">
        <v>345000</v>
      </c>
    </row>
    <row r="59">
      <c r="A59" s="7" t="inlineStr">
        <is>
          <t>Other opex as % of revenue</t>
        </is>
      </c>
      <c r="B59" s="8" t="inlineStr">
        <is>
          <t>%</t>
        </is>
      </c>
      <c r="C59" s="10" t="n">
        <v>0.08</v>
      </c>
      <c r="D59" s="10" t="n">
        <v>0.08</v>
      </c>
      <c r="E59" s="10" t="n">
        <v>0.08</v>
      </c>
      <c r="F59" s="10" t="n">
        <v>0.08</v>
      </c>
      <c r="G59" s="10" t="n">
        <v>0.08</v>
      </c>
      <c r="H59" s="10" t="n">
        <v>0.08</v>
      </c>
      <c r="I59" s="10" t="n">
        <v>0.08</v>
      </c>
      <c r="J59" s="10" t="n">
        <v>0.08</v>
      </c>
      <c r="K59" s="10" t="n">
        <v>0.08</v>
      </c>
      <c r="L59" s="10" t="n">
        <v>0.08</v>
      </c>
    </row>
    <row r="61">
      <c r="A61" s="5" t="inlineStr">
        <is>
          <t>WORKING CAPITAL, CAPEX &amp; TAX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>
      <c r="A62" s="7" t="inlineStr">
        <is>
          <t>Athlete payout float</t>
        </is>
      </c>
      <c r="B62" s="8" t="inlineStr">
        <is>
          <t>days</t>
        </is>
      </c>
      <c r="C62" s="9" t="n">
        <v>15</v>
      </c>
      <c r="D62" s="9" t="n">
        <v>15</v>
      </c>
      <c r="E62" s="9" t="n">
        <v>15</v>
      </c>
      <c r="F62" s="9" t="n">
        <v>15</v>
      </c>
      <c r="G62" s="9" t="n">
        <v>15</v>
      </c>
      <c r="H62" s="9" t="n">
        <v>15</v>
      </c>
      <c r="I62" s="9" t="n">
        <v>15</v>
      </c>
      <c r="J62" s="9" t="n">
        <v>15</v>
      </c>
      <c r="K62" s="9" t="n">
        <v>15</v>
      </c>
      <c r="L62" s="9" t="n">
        <v>15</v>
      </c>
    </row>
    <row r="63">
      <c r="A63" s="7" t="inlineStr">
        <is>
          <t>Sponsor receivable days</t>
        </is>
      </c>
      <c r="B63" s="8" t="inlineStr">
        <is>
          <t>days</t>
        </is>
      </c>
      <c r="C63" s="9" t="n">
        <v>45</v>
      </c>
      <c r="D63" s="9" t="n">
        <v>45</v>
      </c>
      <c r="E63" s="9" t="n">
        <v>45</v>
      </c>
      <c r="F63" s="9" t="n">
        <v>45</v>
      </c>
      <c r="G63" s="9" t="n">
        <v>45</v>
      </c>
      <c r="H63" s="9" t="n">
        <v>45</v>
      </c>
      <c r="I63" s="9" t="n">
        <v>45</v>
      </c>
      <c r="J63" s="9" t="n">
        <v>45</v>
      </c>
      <c r="K63" s="9" t="n">
        <v>45</v>
      </c>
      <c r="L63" s="9" t="n">
        <v>45</v>
      </c>
    </row>
    <row r="64">
      <c r="A64" s="7" t="inlineStr">
        <is>
          <t>Trade payable days</t>
        </is>
      </c>
      <c r="B64" s="8" t="inlineStr">
        <is>
          <t>days</t>
        </is>
      </c>
      <c r="C64" s="9" t="n">
        <v>30</v>
      </c>
      <c r="D64" s="9" t="n">
        <v>30</v>
      </c>
      <c r="E64" s="9" t="n">
        <v>30</v>
      </c>
      <c r="F64" s="9" t="n">
        <v>30</v>
      </c>
      <c r="G64" s="9" t="n">
        <v>30</v>
      </c>
      <c r="H64" s="9" t="n">
        <v>30</v>
      </c>
      <c r="I64" s="9" t="n">
        <v>30</v>
      </c>
      <c r="J64" s="9" t="n">
        <v>30</v>
      </c>
      <c r="K64" s="9" t="n">
        <v>30</v>
      </c>
      <c r="L64" s="9" t="n">
        <v>30</v>
      </c>
    </row>
    <row r="65">
      <c r="A65" s="7" t="inlineStr">
        <is>
          <t>Capitalised development</t>
        </is>
      </c>
      <c r="B65" s="8" t="inlineStr">
        <is>
          <t>% of people cost</t>
        </is>
      </c>
      <c r="C65" s="10" t="n">
        <v>0.3</v>
      </c>
      <c r="D65" s="10" t="n">
        <v>0.3</v>
      </c>
      <c r="E65" s="10" t="n">
        <v>0.3</v>
      </c>
      <c r="F65" s="10" t="n">
        <v>0.3</v>
      </c>
      <c r="G65" s="10" t="n">
        <v>0.3</v>
      </c>
      <c r="H65" s="10" t="n">
        <v>0.3</v>
      </c>
      <c r="I65" s="10" t="n">
        <v>0.3</v>
      </c>
      <c r="J65" s="10" t="n">
        <v>0.3</v>
      </c>
      <c r="K65" s="10" t="n">
        <v>0.3</v>
      </c>
      <c r="L65" s="10" t="n">
        <v>0.3</v>
      </c>
    </row>
    <row r="66">
      <c r="A66" s="7" t="inlineStr">
        <is>
          <t>Amortisation period</t>
        </is>
      </c>
      <c r="B66" s="8" t="inlineStr">
        <is>
          <t>years</t>
        </is>
      </c>
      <c r="C66" s="17" t="n">
        <v>3</v>
      </c>
      <c r="D66" s="17" t="n">
        <v>3</v>
      </c>
      <c r="E66" s="17" t="n">
        <v>3</v>
      </c>
      <c r="F66" s="17" t="n">
        <v>3</v>
      </c>
      <c r="G66" s="17" t="n">
        <v>3</v>
      </c>
      <c r="H66" s="17" t="n">
        <v>3</v>
      </c>
      <c r="I66" s="17" t="n">
        <v>3</v>
      </c>
      <c r="J66" s="17" t="n">
        <v>3</v>
      </c>
      <c r="K66" s="17" t="n">
        <v>3</v>
      </c>
      <c r="L66" s="17" t="n">
        <v>3</v>
      </c>
    </row>
    <row r="67">
      <c r="A67" s="7" t="inlineStr">
        <is>
          <t>Corporate tax — startup rate</t>
        </is>
      </c>
      <c r="B67" s="8" t="inlineStr">
        <is>
          <t>%</t>
        </is>
      </c>
      <c r="C67" s="10" t="n">
        <v>0.15</v>
      </c>
      <c r="D67" s="10" t="n">
        <v>0.15</v>
      </c>
      <c r="E67" s="10" t="n">
        <v>0.15</v>
      </c>
      <c r="F67" s="10" t="n">
        <v>0.15</v>
      </c>
      <c r="G67" s="10" t="n">
        <v>0.15</v>
      </c>
      <c r="H67" s="10" t="n">
        <v>0.15</v>
      </c>
      <c r="I67" s="10" t="n">
        <v>0.15</v>
      </c>
      <c r="J67" s="10" t="n">
        <v>0.15</v>
      </c>
      <c r="K67" s="10" t="n">
        <v>0.15</v>
      </c>
      <c r="L67" s="10" t="n">
        <v>0.15</v>
      </c>
    </row>
    <row r="68">
      <c r="A68" s="7" t="inlineStr">
        <is>
          <t>Corporate tax — standard rate</t>
        </is>
      </c>
      <c r="B68" s="8" t="inlineStr">
        <is>
          <t>%</t>
        </is>
      </c>
      <c r="C68" s="10" t="n">
        <v>0.25</v>
      </c>
      <c r="D68" s="10" t="n">
        <v>0.25</v>
      </c>
      <c r="E68" s="10" t="n">
        <v>0.25</v>
      </c>
      <c r="F68" s="10" t="n">
        <v>0.25</v>
      </c>
      <c r="G68" s="10" t="n">
        <v>0.25</v>
      </c>
      <c r="H68" s="10" t="n">
        <v>0.25</v>
      </c>
      <c r="I68" s="10" t="n">
        <v>0.25</v>
      </c>
      <c r="J68" s="10" t="n">
        <v>0.25</v>
      </c>
      <c r="K68" s="10" t="n">
        <v>0.25</v>
      </c>
      <c r="L68" s="10" t="n">
        <v>0.25</v>
      </c>
    </row>
    <row r="69">
      <c r="A69" s="7" t="inlineStr">
        <is>
          <t>Years at startup rate (from first profit)</t>
        </is>
      </c>
      <c r="B69" s="8" t="inlineStr">
        <is>
          <t>years</t>
        </is>
      </c>
      <c r="C69" s="17" t="n">
        <v>4</v>
      </c>
      <c r="D69" s="17" t="n">
        <v>4</v>
      </c>
      <c r="E69" s="17" t="n">
        <v>4</v>
      </c>
      <c r="F69" s="17" t="n">
        <v>4</v>
      </c>
      <c r="G69" s="17" t="n">
        <v>4</v>
      </c>
      <c r="H69" s="17" t="n">
        <v>4</v>
      </c>
      <c r="I69" s="17" t="n">
        <v>4</v>
      </c>
      <c r="J69" s="17" t="n">
        <v>4</v>
      </c>
      <c r="K69" s="17" t="n">
        <v>4</v>
      </c>
      <c r="L69" s="17" t="n">
        <v>4</v>
      </c>
    </row>
    <row r="71">
      <c r="A71" s="5" t="inlineStr">
        <is>
          <t>VALUATION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>
      <c r="A72" s="7" t="inlineStr">
        <is>
          <t>WACC / discount rate</t>
        </is>
      </c>
      <c r="B72" s="8" t="inlineStr">
        <is>
          <t>%</t>
        </is>
      </c>
      <c r="C72" s="10" t="n">
        <v>0.25</v>
      </c>
      <c r="D72" s="10" t="n">
        <v>0.25</v>
      </c>
      <c r="E72" s="10" t="n">
        <v>0.25</v>
      </c>
      <c r="F72" s="10" t="n">
        <v>0.25</v>
      </c>
      <c r="G72" s="10" t="n">
        <v>0.25</v>
      </c>
      <c r="H72" s="10" t="n">
        <v>0.25</v>
      </c>
      <c r="I72" s="10" t="n">
        <v>0.25</v>
      </c>
      <c r="J72" s="10" t="n">
        <v>0.25</v>
      </c>
      <c r="K72" s="10" t="n">
        <v>0.25</v>
      </c>
      <c r="L72" s="10" t="n">
        <v>0.25</v>
      </c>
    </row>
    <row r="73">
      <c r="A73" s="7" t="inlineStr">
        <is>
          <t>Terminal growth</t>
        </is>
      </c>
      <c r="B73" s="8" t="inlineStr">
        <is>
          <t>%</t>
        </is>
      </c>
      <c r="C73" s="10" t="n">
        <v>0.03</v>
      </c>
      <c r="D73" s="10" t="n">
        <v>0.03</v>
      </c>
      <c r="E73" s="10" t="n">
        <v>0.03</v>
      </c>
      <c r="F73" s="10" t="n">
        <v>0.03</v>
      </c>
      <c r="G73" s="10" t="n">
        <v>0.03</v>
      </c>
      <c r="H73" s="10" t="n">
        <v>0.03</v>
      </c>
      <c r="I73" s="10" t="n">
        <v>0.03</v>
      </c>
      <c r="J73" s="10" t="n">
        <v>0.03</v>
      </c>
      <c r="K73" s="10" t="n">
        <v>0.03</v>
      </c>
      <c r="L73" s="10" t="n">
        <v>0.03</v>
      </c>
    </row>
    <row r="74">
      <c r="A74" s="7" t="inlineStr">
        <is>
          <t>Exit revenue multiple</t>
        </is>
      </c>
      <c r="B74" s="8" t="inlineStr">
        <is>
          <t>x</t>
        </is>
      </c>
      <c r="C74" s="12" t="n">
        <v>6.5</v>
      </c>
      <c r="D74" s="12" t="n">
        <v>6.5</v>
      </c>
      <c r="E74" s="12" t="n">
        <v>6.5</v>
      </c>
      <c r="F74" s="12" t="n">
        <v>6.5</v>
      </c>
      <c r="G74" s="12" t="n">
        <v>6.5</v>
      </c>
      <c r="H74" s="12" t="n">
        <v>6.5</v>
      </c>
      <c r="I74" s="12" t="n">
        <v>6.5</v>
      </c>
      <c r="J74" s="12" t="n">
        <v>6.5</v>
      </c>
      <c r="K74" s="12" t="n">
        <v>6.5</v>
      </c>
      <c r="L74" s="12" t="n">
        <v>6.5</v>
      </c>
    </row>
    <row r="75">
      <c r="A75" s="7" t="inlineStr">
        <is>
          <t>Risk-free rate (Spanish 10Y)</t>
        </is>
      </c>
      <c r="B75" s="8" t="inlineStr">
        <is>
          <t>%</t>
        </is>
      </c>
      <c r="C75" s="10" t="n">
        <v>0.032</v>
      </c>
      <c r="D75" s="10" t="n">
        <v>0.032</v>
      </c>
      <c r="E75" s="10" t="n">
        <v>0.032</v>
      </c>
      <c r="F75" s="10" t="n">
        <v>0.032</v>
      </c>
      <c r="G75" s="10" t="n">
        <v>0.032</v>
      </c>
      <c r="H75" s="10" t="n">
        <v>0.032</v>
      </c>
      <c r="I75" s="10" t="n">
        <v>0.032</v>
      </c>
      <c r="J75" s="10" t="n">
        <v>0.032</v>
      </c>
      <c r="K75" s="10" t="n">
        <v>0.032</v>
      </c>
      <c r="L75" s="10" t="n">
        <v>0.032</v>
      </c>
    </row>
    <row r="76">
      <c r="A76" s="7" t="inlineStr">
        <is>
          <t>Founder alternative return</t>
        </is>
      </c>
      <c r="B76" s="8" t="inlineStr">
        <is>
          <t>%</t>
        </is>
      </c>
      <c r="C76" s="10" t="n">
        <v>0.07000000000000001</v>
      </c>
      <c r="D76" s="10" t="n">
        <v>0.07000000000000001</v>
      </c>
      <c r="E76" s="10" t="n">
        <v>0.07000000000000001</v>
      </c>
      <c r="F76" s="10" t="n">
        <v>0.07000000000000001</v>
      </c>
      <c r="G76" s="10" t="n">
        <v>0.07000000000000001</v>
      </c>
      <c r="H76" s="10" t="n">
        <v>0.07000000000000001</v>
      </c>
      <c r="I76" s="10" t="n">
        <v>0.07000000000000001</v>
      </c>
      <c r="J76" s="10" t="n">
        <v>0.07000000000000001</v>
      </c>
      <c r="K76" s="10" t="n">
        <v>0.07000000000000001</v>
      </c>
      <c r="L76" s="10" t="n">
        <v>0.07000000000000001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Drivers — athletes and fans, with cohort churn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ATHLETES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Total athletes (year end)</t>
        </is>
      </c>
      <c r="B5" s="8" t="inlineStr"/>
      <c r="C5" s="18">
        <f>Assumptions!C5</f>
        <v/>
      </c>
      <c r="D5" s="18">
        <f>Assumptions!D5</f>
        <v/>
      </c>
      <c r="E5" s="18">
        <f>Assumptions!E5</f>
        <v/>
      </c>
      <c r="F5" s="18">
        <f>Assumptions!F5</f>
        <v/>
      </c>
      <c r="G5" s="18">
        <f>Assumptions!G5</f>
        <v/>
      </c>
      <c r="H5" s="18">
        <f>Assumptions!H5</f>
        <v/>
      </c>
      <c r="I5" s="18">
        <f>Assumptions!I5</f>
        <v/>
      </c>
      <c r="J5" s="18">
        <f>Assumptions!J5</f>
        <v/>
      </c>
      <c r="K5" s="18">
        <f>Assumptions!K5</f>
        <v/>
      </c>
      <c r="L5" s="18">
        <f>Assumptions!L5</f>
        <v/>
      </c>
    </row>
    <row r="6">
      <c r="A6" s="7" t="inlineStr">
        <is>
          <t>Niche athletes</t>
        </is>
      </c>
      <c r="B6" s="8" t="inlineStr"/>
      <c r="C6" s="19">
        <f>Drivers!C5*Assumptions!C6</f>
        <v/>
      </c>
      <c r="D6" s="19">
        <f>Drivers!D5*Assumptions!D6</f>
        <v/>
      </c>
      <c r="E6" s="19">
        <f>Drivers!E5*Assumptions!E6</f>
        <v/>
      </c>
      <c r="F6" s="19">
        <f>Drivers!F5*Assumptions!F6</f>
        <v/>
      </c>
      <c r="G6" s="19">
        <f>Drivers!G5*Assumptions!G6</f>
        <v/>
      </c>
      <c r="H6" s="19">
        <f>Drivers!H5*Assumptions!H6</f>
        <v/>
      </c>
      <c r="I6" s="19">
        <f>Drivers!I5*Assumptions!I6</f>
        <v/>
      </c>
      <c r="J6" s="19">
        <f>Drivers!J5*Assumptions!J6</f>
        <v/>
      </c>
      <c r="K6" s="19">
        <f>Drivers!K5*Assumptions!K6</f>
        <v/>
      </c>
      <c r="L6" s="19">
        <f>Drivers!L5*Assumptions!L6</f>
        <v/>
      </c>
    </row>
    <row r="7">
      <c r="A7" s="7" t="inlineStr">
        <is>
          <t>Popular athletes</t>
        </is>
      </c>
      <c r="B7" s="8" t="inlineStr"/>
      <c r="C7" s="19">
        <f>Drivers!C5-Drivers!C6</f>
        <v/>
      </c>
      <c r="D7" s="19">
        <f>Drivers!D5-Drivers!D6</f>
        <v/>
      </c>
      <c r="E7" s="19">
        <f>Drivers!E5-Drivers!E6</f>
        <v/>
      </c>
      <c r="F7" s="19">
        <f>Drivers!F5-Drivers!F6</f>
        <v/>
      </c>
      <c r="G7" s="19">
        <f>Drivers!G5-Drivers!G6</f>
        <v/>
      </c>
      <c r="H7" s="19">
        <f>Drivers!H5-Drivers!H6</f>
        <v/>
      </c>
      <c r="I7" s="19">
        <f>Drivers!I5-Drivers!I6</f>
        <v/>
      </c>
      <c r="J7" s="19">
        <f>Drivers!J5-Drivers!J6</f>
        <v/>
      </c>
      <c r="K7" s="19">
        <f>Drivers!K5-Drivers!K6</f>
        <v/>
      </c>
      <c r="L7" s="19">
        <f>Drivers!L5-Drivers!L6</f>
        <v/>
      </c>
    </row>
    <row r="9">
      <c r="A9" s="5" t="inlineStr">
        <is>
          <t>NICHE — fans and churn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7" t="inlineStr">
        <is>
          <t>Niche athletes lost to churn</t>
        </is>
      </c>
      <c r="B10" s="8" t="inlineStr"/>
      <c r="C10" s="19">
        <f>IF(1=1,0,C6*Assumptions!C13)</f>
        <v/>
      </c>
      <c r="D10" s="19">
        <f>IF(2=1,0,C6*Assumptions!D13)</f>
        <v/>
      </c>
      <c r="E10" s="19">
        <f>IF(3=1,0,D6*Assumptions!E13)</f>
        <v/>
      </c>
      <c r="F10" s="19">
        <f>IF(4=1,0,E6*Assumptions!F13)</f>
        <v/>
      </c>
      <c r="G10" s="19">
        <f>IF(5=1,0,F6*Assumptions!G13)</f>
        <v/>
      </c>
      <c r="H10" s="19">
        <f>IF(6=1,0,G6*Assumptions!H13)</f>
        <v/>
      </c>
      <c r="I10" s="19">
        <f>IF(7=1,0,H6*Assumptions!I13)</f>
        <v/>
      </c>
      <c r="J10" s="19">
        <f>IF(8=1,0,I6*Assumptions!J13)</f>
        <v/>
      </c>
      <c r="K10" s="19">
        <f>IF(9=1,0,J6*Assumptions!K13)</f>
        <v/>
      </c>
      <c r="L10" s="19">
        <f>IF(10=1,0,K6*Assumptions!L13)</f>
        <v/>
      </c>
    </row>
    <row r="11">
      <c r="A11" s="7" t="inlineStr">
        <is>
          <t>Niche athletes acquired (gross)</t>
        </is>
      </c>
      <c r="B11" s="8" t="inlineStr"/>
      <c r="C11" s="19">
        <f>MAX(0,C6-IF(1=1,0,C6)+C10)</f>
        <v/>
      </c>
      <c r="D11" s="19">
        <f>MAX(0,D6-IF(2=1,0,C6)+D10)</f>
        <v/>
      </c>
      <c r="E11" s="19">
        <f>MAX(0,E6-IF(3=1,0,D6)+E10)</f>
        <v/>
      </c>
      <c r="F11" s="19">
        <f>MAX(0,F6-IF(4=1,0,E6)+F10)</f>
        <v/>
      </c>
      <c r="G11" s="19">
        <f>MAX(0,G6-IF(5=1,0,F6)+G10)</f>
        <v/>
      </c>
      <c r="H11" s="19">
        <f>MAX(0,H6-IF(6=1,0,G6)+H10)</f>
        <v/>
      </c>
      <c r="I11" s="19">
        <f>MAX(0,I6-IF(7=1,0,H6)+I10)</f>
        <v/>
      </c>
      <c r="J11" s="19">
        <f>MAX(0,J6-IF(8=1,0,I6)+J10)</f>
        <v/>
      </c>
      <c r="K11" s="19">
        <f>MAX(0,K6-IF(9=1,0,J6)+K10)</f>
        <v/>
      </c>
      <c r="L11" s="19">
        <f>MAX(0,L6-IF(10=1,0,K6)+L10)</f>
        <v/>
      </c>
    </row>
    <row r="12">
      <c r="A12" s="7" t="inlineStr">
        <is>
          <t>Niche monetising athletes</t>
        </is>
      </c>
      <c r="B12" s="8" t="inlineStr"/>
      <c r="C12" s="19">
        <f>C6*Assumptions!C9</f>
        <v/>
      </c>
      <c r="D12" s="19">
        <f>D6*Assumptions!D9</f>
        <v/>
      </c>
      <c r="E12" s="19">
        <f>E6*Assumptions!E9</f>
        <v/>
      </c>
      <c r="F12" s="19">
        <f>F6*Assumptions!F9</f>
        <v/>
      </c>
      <c r="G12" s="19">
        <f>G6*Assumptions!G9</f>
        <v/>
      </c>
      <c r="H12" s="19">
        <f>H6*Assumptions!H9</f>
        <v/>
      </c>
      <c r="I12" s="19">
        <f>I6*Assumptions!I9</f>
        <v/>
      </c>
      <c r="J12" s="19">
        <f>J6*Assumptions!J9</f>
        <v/>
      </c>
      <c r="K12" s="19">
        <f>K6*Assumptions!K9</f>
        <v/>
      </c>
      <c r="L12" s="19">
        <f>L6*Assumptions!L9</f>
        <v/>
      </c>
    </row>
    <row r="13">
      <c r="A13" s="2" t="inlineStr">
        <is>
          <t>Niche paying fans (year end)</t>
        </is>
      </c>
      <c r="B13" s="8" t="inlineStr"/>
      <c r="C13" s="20">
        <f>C12*Assumptions!C10</f>
        <v/>
      </c>
      <c r="D13" s="20">
        <f>D12*Assumptions!D10</f>
        <v/>
      </c>
      <c r="E13" s="20">
        <f>E12*Assumptions!E10</f>
        <v/>
      </c>
      <c r="F13" s="20">
        <f>F12*Assumptions!F10</f>
        <v/>
      </c>
      <c r="G13" s="20">
        <f>G12*Assumptions!G10</f>
        <v/>
      </c>
      <c r="H13" s="20">
        <f>H12*Assumptions!H10</f>
        <v/>
      </c>
      <c r="I13" s="20">
        <f>I12*Assumptions!I10</f>
        <v/>
      </c>
      <c r="J13" s="20">
        <f>J12*Assumptions!J10</f>
        <v/>
      </c>
      <c r="K13" s="20">
        <f>K12*Assumptions!K10</f>
        <v/>
      </c>
      <c r="L13" s="20">
        <f>L12*Assumptions!L10</f>
        <v/>
      </c>
    </row>
    <row r="14">
      <c r="A14" s="7" t="inlineStr">
        <is>
          <t>Niche monthly retention r = 1-churn</t>
        </is>
      </c>
      <c r="B14" s="8" t="inlineStr">
        <is>
          <t>factor</t>
        </is>
      </c>
      <c r="C14" s="21">
        <f>1-Assumptions!C12</f>
        <v/>
      </c>
      <c r="D14" s="21">
        <f>1-Assumptions!D12</f>
        <v/>
      </c>
      <c r="E14" s="21">
        <f>1-Assumptions!E12</f>
        <v/>
      </c>
      <c r="F14" s="21">
        <f>1-Assumptions!F12</f>
        <v/>
      </c>
      <c r="G14" s="21">
        <f>1-Assumptions!G12</f>
        <v/>
      </c>
      <c r="H14" s="21">
        <f>1-Assumptions!H12</f>
        <v/>
      </c>
      <c r="I14" s="21">
        <f>1-Assumptions!I12</f>
        <v/>
      </c>
      <c r="J14" s="21">
        <f>1-Assumptions!J12</f>
        <v/>
      </c>
      <c r="K14" s="21">
        <f>1-Assumptions!K12</f>
        <v/>
      </c>
      <c r="L14" s="21">
        <f>1-Assumptions!L12</f>
        <v/>
      </c>
    </row>
    <row r="15">
      <c r="A15" s="7" t="inlineStr">
        <is>
          <t>Niche opening fans survived 12 months</t>
        </is>
      </c>
      <c r="B15" s="8">
        <f> open x r^12</f>
        <v/>
      </c>
      <c r="C15" s="19">
        <f>IF(1=1,0,C13*C14^12)</f>
        <v/>
      </c>
      <c r="D15" s="19">
        <f>IF(2=1,0,C13*D14^12)</f>
        <v/>
      </c>
      <c r="E15" s="19">
        <f>IF(3=1,0,D13*E14^12)</f>
        <v/>
      </c>
      <c r="F15" s="19">
        <f>IF(4=1,0,E13*F14^12)</f>
        <v/>
      </c>
      <c r="G15" s="19">
        <f>IF(5=1,0,F13*G14^12)</f>
        <v/>
      </c>
      <c r="H15" s="19">
        <f>IF(6=1,0,G13*H14^12)</f>
        <v/>
      </c>
      <c r="I15" s="19">
        <f>IF(7=1,0,H13*I14^12)</f>
        <v/>
      </c>
      <c r="J15" s="19">
        <f>IF(8=1,0,I13*J14^12)</f>
        <v/>
      </c>
      <c r="K15" s="19">
        <f>IF(9=1,0,J13*K14^12)</f>
        <v/>
      </c>
      <c r="L15" s="19">
        <f>IF(10=1,0,K13*L14^12)</f>
        <v/>
      </c>
    </row>
    <row r="16">
      <c r="A16" s="7" t="inlineStr">
        <is>
          <t>Niche monthly gross adds</t>
        </is>
      </c>
      <c r="B16" s="8" t="inlineStr">
        <is>
          <t>solved: (end - survivors)/annuity</t>
        </is>
      </c>
      <c r="C16" s="19">
        <f>MAX(0,(C13-C15)/((1-C14^12)/(1-C14)))</f>
        <v/>
      </c>
      <c r="D16" s="19">
        <f>MAX(0,(D13-D15)/((1-D14^12)/(1-D14)))</f>
        <v/>
      </c>
      <c r="E16" s="19">
        <f>MAX(0,(E13-E15)/((1-E14^12)/(1-E14)))</f>
        <v/>
      </c>
      <c r="F16" s="19">
        <f>MAX(0,(F13-F15)/((1-F14^12)/(1-F14)))</f>
        <v/>
      </c>
      <c r="G16" s="19">
        <f>MAX(0,(G13-G15)/((1-G14^12)/(1-G14)))</f>
        <v/>
      </c>
      <c r="H16" s="19">
        <f>MAX(0,(H13-H15)/((1-H14^12)/(1-H14)))</f>
        <v/>
      </c>
      <c r="I16" s="19">
        <f>MAX(0,(I13-I15)/((1-I14^12)/(1-I14)))</f>
        <v/>
      </c>
      <c r="J16" s="19">
        <f>MAX(0,(J13-J15)/((1-J14^12)/(1-J14)))</f>
        <v/>
      </c>
      <c r="K16" s="19">
        <f>MAX(0,(K13-K15)/((1-K14^12)/(1-K14)))</f>
        <v/>
      </c>
      <c r="L16" s="19">
        <f>MAX(0,(L13-L15)/((1-L14^12)/(1-L14)))</f>
        <v/>
      </c>
    </row>
    <row r="17">
      <c r="A17" s="7" t="inlineStr">
        <is>
          <t>Niche fans acquired (gross)</t>
        </is>
      </c>
      <c r="B17" s="8" t="inlineStr">
        <is>
          <t>x12 months</t>
        </is>
      </c>
      <c r="C17" s="19">
        <f>C16*12</f>
        <v/>
      </c>
      <c r="D17" s="19">
        <f>D16*12</f>
        <v/>
      </c>
      <c r="E17" s="19">
        <f>E16*12</f>
        <v/>
      </c>
      <c r="F17" s="19">
        <f>F16*12</f>
        <v/>
      </c>
      <c r="G17" s="19">
        <f>G16*12</f>
        <v/>
      </c>
      <c r="H17" s="19">
        <f>H16*12</f>
        <v/>
      </c>
      <c r="I17" s="19">
        <f>I16*12</f>
        <v/>
      </c>
      <c r="J17" s="19">
        <f>J16*12</f>
        <v/>
      </c>
      <c r="K17" s="19">
        <f>K16*12</f>
        <v/>
      </c>
      <c r="L17" s="19">
        <f>L16*12</f>
        <v/>
      </c>
    </row>
    <row r="18">
      <c r="A18" s="7" t="inlineStr">
        <is>
          <t>Niche S = r(1-r^12)/(1-r)</t>
        </is>
      </c>
      <c r="B18" s="8" t="inlineStr">
        <is>
          <t>geometric sum</t>
        </is>
      </c>
      <c r="C18" s="21">
        <f>C14*(1-C14^12)/(1-C14)</f>
        <v/>
      </c>
      <c r="D18" s="21">
        <f>D14*(1-D14^12)/(1-D14)</f>
        <v/>
      </c>
      <c r="E18" s="21">
        <f>E14*(1-E14^12)/(1-E14)</f>
        <v/>
      </c>
      <c r="F18" s="21">
        <f>F14*(1-F14^12)/(1-F14)</f>
        <v/>
      </c>
      <c r="G18" s="21">
        <f>G14*(1-G14^12)/(1-G14)</f>
        <v/>
      </c>
      <c r="H18" s="21">
        <f>H14*(1-H14^12)/(1-H14)</f>
        <v/>
      </c>
      <c r="I18" s="21">
        <f>I14*(1-I14^12)/(1-I14)</f>
        <v/>
      </c>
      <c r="J18" s="21">
        <f>J14*(1-J14^12)/(1-J14)</f>
        <v/>
      </c>
      <c r="K18" s="21">
        <f>K14*(1-K14^12)/(1-K14)</f>
        <v/>
      </c>
      <c r="L18" s="21">
        <f>L14*(1-L14^12)/(1-L14)</f>
        <v/>
      </c>
    </row>
    <row r="19">
      <c r="A19" s="2" t="inlineStr">
        <is>
          <t>Niche average fans during year</t>
        </is>
      </c>
      <c r="B19" s="8" t="inlineStr">
        <is>
          <t>exact mean, revenue basis</t>
        </is>
      </c>
      <c r="C19" s="20">
        <f>(IF(1=1,0,C13)*C18+C16/(1-C14)*(12-C18))/12</f>
        <v/>
      </c>
      <c r="D19" s="20">
        <f>(IF(2=1,0,C13)*D18+D16/(1-D14)*(12-D18))/12</f>
        <v/>
      </c>
      <c r="E19" s="20">
        <f>(IF(3=1,0,D13)*E18+E16/(1-E14)*(12-E18))/12</f>
        <v/>
      </c>
      <c r="F19" s="20">
        <f>(IF(4=1,0,E13)*F18+F16/(1-F14)*(12-F18))/12</f>
        <v/>
      </c>
      <c r="G19" s="20">
        <f>(IF(5=1,0,F13)*G18+G16/(1-G14)*(12-G18))/12</f>
        <v/>
      </c>
      <c r="H19" s="20">
        <f>(IF(6=1,0,G13)*H18+H16/(1-H14)*(12-H18))/12</f>
        <v/>
      </c>
      <c r="I19" s="20">
        <f>(IF(7=1,0,H13)*I18+I16/(1-I14)*(12-I18))/12</f>
        <v/>
      </c>
      <c r="J19" s="20">
        <f>(IF(8=1,0,I13)*J18+J16/(1-J14)*(12-J18))/12</f>
        <v/>
      </c>
      <c r="K19" s="20">
        <f>(IF(9=1,0,J13)*K18+K16/(1-K14)*(12-K18))/12</f>
        <v/>
      </c>
      <c r="L19" s="20">
        <f>(IF(10=1,0,K13)*L18+L16/(1-L14)*(12-L18))/12</f>
        <v/>
      </c>
    </row>
    <row r="20">
      <c r="A20" s="7" t="inlineStr">
        <is>
          <t>Niche fans lost to churn</t>
        </is>
      </c>
      <c r="B20" s="8" t="inlineStr">
        <is>
          <t>avg x churn x 12</t>
        </is>
      </c>
      <c r="C20" s="19">
        <f>C19*12*Assumptions!C12</f>
        <v/>
      </c>
      <c r="D20" s="19">
        <f>D19*12*Assumptions!D12</f>
        <v/>
      </c>
      <c r="E20" s="19">
        <f>E19*12*Assumptions!E12</f>
        <v/>
      </c>
      <c r="F20" s="19">
        <f>F19*12*Assumptions!F12</f>
        <v/>
      </c>
      <c r="G20" s="19">
        <f>G19*12*Assumptions!G12</f>
        <v/>
      </c>
      <c r="H20" s="19">
        <f>H19*12*Assumptions!H12</f>
        <v/>
      </c>
      <c r="I20" s="19">
        <f>I19*12*Assumptions!I12</f>
        <v/>
      </c>
      <c r="J20" s="19">
        <f>J19*12*Assumptions!J12</f>
        <v/>
      </c>
      <c r="K20" s="19">
        <f>K19*12*Assumptions!K12</f>
        <v/>
      </c>
      <c r="L20" s="19">
        <f>L19*12*Assumptions!L12</f>
        <v/>
      </c>
    </row>
    <row r="22">
      <c r="A22" s="5" t="inlineStr">
        <is>
          <t>POPULAR — fans and churn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7" t="inlineStr">
        <is>
          <t>Popular athletes lost to churn</t>
        </is>
      </c>
      <c r="B23" s="8" t="inlineStr"/>
      <c r="C23" s="19">
        <f>IF(1=1,0,C7*Assumptions!C24)</f>
        <v/>
      </c>
      <c r="D23" s="19">
        <f>IF(2=1,0,C7*Assumptions!D24)</f>
        <v/>
      </c>
      <c r="E23" s="19">
        <f>IF(3=1,0,D7*Assumptions!E24)</f>
        <v/>
      </c>
      <c r="F23" s="19">
        <f>IF(4=1,0,E7*Assumptions!F24)</f>
        <v/>
      </c>
      <c r="G23" s="19">
        <f>IF(5=1,0,F7*Assumptions!G24)</f>
        <v/>
      </c>
      <c r="H23" s="19">
        <f>IF(6=1,0,G7*Assumptions!H24)</f>
        <v/>
      </c>
      <c r="I23" s="19">
        <f>IF(7=1,0,H7*Assumptions!I24)</f>
        <v/>
      </c>
      <c r="J23" s="19">
        <f>IF(8=1,0,I7*Assumptions!J24)</f>
        <v/>
      </c>
      <c r="K23" s="19">
        <f>IF(9=1,0,J7*Assumptions!K24)</f>
        <v/>
      </c>
      <c r="L23" s="19">
        <f>IF(10=1,0,K7*Assumptions!L24)</f>
        <v/>
      </c>
    </row>
    <row r="24">
      <c r="A24" s="7" t="inlineStr">
        <is>
          <t>Popular athletes acquired (gross)</t>
        </is>
      </c>
      <c r="B24" s="8" t="inlineStr"/>
      <c r="C24" s="19">
        <f>MAX(0,C7-IF(1=1,0,C7)+C23)</f>
        <v/>
      </c>
      <c r="D24" s="19">
        <f>MAX(0,D7-IF(2=1,0,C7)+D23)</f>
        <v/>
      </c>
      <c r="E24" s="19">
        <f>MAX(0,E7-IF(3=1,0,D7)+E23)</f>
        <v/>
      </c>
      <c r="F24" s="19">
        <f>MAX(0,F7-IF(4=1,0,E7)+F23)</f>
        <v/>
      </c>
      <c r="G24" s="19">
        <f>MAX(0,G7-IF(5=1,0,F7)+G23)</f>
        <v/>
      </c>
      <c r="H24" s="19">
        <f>MAX(0,H7-IF(6=1,0,G7)+H23)</f>
        <v/>
      </c>
      <c r="I24" s="19">
        <f>MAX(0,I7-IF(7=1,0,H7)+I23)</f>
        <v/>
      </c>
      <c r="J24" s="19">
        <f>MAX(0,J7-IF(8=1,0,I7)+J23)</f>
        <v/>
      </c>
      <c r="K24" s="19">
        <f>MAX(0,K7-IF(9=1,0,J7)+K23)</f>
        <v/>
      </c>
      <c r="L24" s="19">
        <f>MAX(0,L7-IF(10=1,0,K7)+L23)</f>
        <v/>
      </c>
    </row>
    <row r="25">
      <c r="A25" s="7" t="inlineStr">
        <is>
          <t>Popular monetising athletes</t>
        </is>
      </c>
      <c r="B25" s="8" t="inlineStr"/>
      <c r="C25" s="19">
        <f>C7*Assumptions!C20</f>
        <v/>
      </c>
      <c r="D25" s="19">
        <f>D7*Assumptions!D20</f>
        <v/>
      </c>
      <c r="E25" s="19">
        <f>E7*Assumptions!E20</f>
        <v/>
      </c>
      <c r="F25" s="19">
        <f>F7*Assumptions!F20</f>
        <v/>
      </c>
      <c r="G25" s="19">
        <f>G7*Assumptions!G20</f>
        <v/>
      </c>
      <c r="H25" s="19">
        <f>H7*Assumptions!H20</f>
        <v/>
      </c>
      <c r="I25" s="19">
        <f>I7*Assumptions!I20</f>
        <v/>
      </c>
      <c r="J25" s="19">
        <f>J7*Assumptions!J20</f>
        <v/>
      </c>
      <c r="K25" s="19">
        <f>K7*Assumptions!K20</f>
        <v/>
      </c>
      <c r="L25" s="19">
        <f>L7*Assumptions!L20</f>
        <v/>
      </c>
    </row>
    <row r="26">
      <c r="A26" s="2" t="inlineStr">
        <is>
          <t>Popular paying fans (year end)</t>
        </is>
      </c>
      <c r="B26" s="8" t="inlineStr"/>
      <c r="C26" s="20">
        <f>C25*Assumptions!C21</f>
        <v/>
      </c>
      <c r="D26" s="20">
        <f>D25*Assumptions!D21</f>
        <v/>
      </c>
      <c r="E26" s="20">
        <f>E25*Assumptions!E21</f>
        <v/>
      </c>
      <c r="F26" s="20">
        <f>F25*Assumptions!F21</f>
        <v/>
      </c>
      <c r="G26" s="20">
        <f>G25*Assumptions!G21</f>
        <v/>
      </c>
      <c r="H26" s="20">
        <f>H25*Assumptions!H21</f>
        <v/>
      </c>
      <c r="I26" s="20">
        <f>I25*Assumptions!I21</f>
        <v/>
      </c>
      <c r="J26" s="20">
        <f>J25*Assumptions!J21</f>
        <v/>
      </c>
      <c r="K26" s="20">
        <f>K25*Assumptions!K21</f>
        <v/>
      </c>
      <c r="L26" s="20">
        <f>L25*Assumptions!L21</f>
        <v/>
      </c>
    </row>
    <row r="27">
      <c r="A27" s="7" t="inlineStr">
        <is>
          <t>Popular monthly retention r = 1-churn</t>
        </is>
      </c>
      <c r="B27" s="8" t="inlineStr">
        <is>
          <t>factor</t>
        </is>
      </c>
      <c r="C27" s="21">
        <f>1-Assumptions!C23</f>
        <v/>
      </c>
      <c r="D27" s="21">
        <f>1-Assumptions!D23</f>
        <v/>
      </c>
      <c r="E27" s="21">
        <f>1-Assumptions!E23</f>
        <v/>
      </c>
      <c r="F27" s="21">
        <f>1-Assumptions!F23</f>
        <v/>
      </c>
      <c r="G27" s="21">
        <f>1-Assumptions!G23</f>
        <v/>
      </c>
      <c r="H27" s="21">
        <f>1-Assumptions!H23</f>
        <v/>
      </c>
      <c r="I27" s="21">
        <f>1-Assumptions!I23</f>
        <v/>
      </c>
      <c r="J27" s="21">
        <f>1-Assumptions!J23</f>
        <v/>
      </c>
      <c r="K27" s="21">
        <f>1-Assumptions!K23</f>
        <v/>
      </c>
      <c r="L27" s="21">
        <f>1-Assumptions!L23</f>
        <v/>
      </c>
    </row>
    <row r="28">
      <c r="A28" s="7" t="inlineStr">
        <is>
          <t>Popular opening fans survived 12 months</t>
        </is>
      </c>
      <c r="B28" s="8">
        <f> open x r^12</f>
        <v/>
      </c>
      <c r="C28" s="19">
        <f>IF(1=1,0,C26*C27^12)</f>
        <v/>
      </c>
      <c r="D28" s="19">
        <f>IF(2=1,0,C26*D27^12)</f>
        <v/>
      </c>
      <c r="E28" s="19">
        <f>IF(3=1,0,D26*E27^12)</f>
        <v/>
      </c>
      <c r="F28" s="19">
        <f>IF(4=1,0,E26*F27^12)</f>
        <v/>
      </c>
      <c r="G28" s="19">
        <f>IF(5=1,0,F26*G27^12)</f>
        <v/>
      </c>
      <c r="H28" s="19">
        <f>IF(6=1,0,G26*H27^12)</f>
        <v/>
      </c>
      <c r="I28" s="19">
        <f>IF(7=1,0,H26*I27^12)</f>
        <v/>
      </c>
      <c r="J28" s="19">
        <f>IF(8=1,0,I26*J27^12)</f>
        <v/>
      </c>
      <c r="K28" s="19">
        <f>IF(9=1,0,J26*K27^12)</f>
        <v/>
      </c>
      <c r="L28" s="19">
        <f>IF(10=1,0,K26*L27^12)</f>
        <v/>
      </c>
    </row>
    <row r="29">
      <c r="A29" s="7" t="inlineStr">
        <is>
          <t>Popular monthly gross adds</t>
        </is>
      </c>
      <c r="B29" s="8" t="inlineStr">
        <is>
          <t>solved: (end - survivors)/annuity</t>
        </is>
      </c>
      <c r="C29" s="19">
        <f>MAX(0,(C26-C28)/((1-C27^12)/(1-C27)))</f>
        <v/>
      </c>
      <c r="D29" s="19">
        <f>MAX(0,(D26-D28)/((1-D27^12)/(1-D27)))</f>
        <v/>
      </c>
      <c r="E29" s="19">
        <f>MAX(0,(E26-E28)/((1-E27^12)/(1-E27)))</f>
        <v/>
      </c>
      <c r="F29" s="19">
        <f>MAX(0,(F26-F28)/((1-F27^12)/(1-F27)))</f>
        <v/>
      </c>
      <c r="G29" s="19">
        <f>MAX(0,(G26-G28)/((1-G27^12)/(1-G27)))</f>
        <v/>
      </c>
      <c r="H29" s="19">
        <f>MAX(0,(H26-H28)/((1-H27^12)/(1-H27)))</f>
        <v/>
      </c>
      <c r="I29" s="19">
        <f>MAX(0,(I26-I28)/((1-I27^12)/(1-I27)))</f>
        <v/>
      </c>
      <c r="J29" s="19">
        <f>MAX(0,(J26-J28)/((1-J27^12)/(1-J27)))</f>
        <v/>
      </c>
      <c r="K29" s="19">
        <f>MAX(0,(K26-K28)/((1-K27^12)/(1-K27)))</f>
        <v/>
      </c>
      <c r="L29" s="19">
        <f>MAX(0,(L26-L28)/((1-L27^12)/(1-L27)))</f>
        <v/>
      </c>
    </row>
    <row r="30">
      <c r="A30" s="7" t="inlineStr">
        <is>
          <t>Popular fans acquired (gross)</t>
        </is>
      </c>
      <c r="B30" s="8" t="inlineStr">
        <is>
          <t>x12 months</t>
        </is>
      </c>
      <c r="C30" s="19">
        <f>C29*12</f>
        <v/>
      </c>
      <c r="D30" s="19">
        <f>D29*12</f>
        <v/>
      </c>
      <c r="E30" s="19">
        <f>E29*12</f>
        <v/>
      </c>
      <c r="F30" s="19">
        <f>F29*12</f>
        <v/>
      </c>
      <c r="G30" s="19">
        <f>G29*12</f>
        <v/>
      </c>
      <c r="H30" s="19">
        <f>H29*12</f>
        <v/>
      </c>
      <c r="I30" s="19">
        <f>I29*12</f>
        <v/>
      </c>
      <c r="J30" s="19">
        <f>J29*12</f>
        <v/>
      </c>
      <c r="K30" s="19">
        <f>K29*12</f>
        <v/>
      </c>
      <c r="L30" s="19">
        <f>L29*12</f>
        <v/>
      </c>
    </row>
    <row r="31">
      <c r="A31" s="7" t="inlineStr">
        <is>
          <t>Popular S = r(1-r^12)/(1-r)</t>
        </is>
      </c>
      <c r="B31" s="8" t="inlineStr">
        <is>
          <t>geometric sum</t>
        </is>
      </c>
      <c r="C31" s="21">
        <f>C27*(1-C27^12)/(1-C27)</f>
        <v/>
      </c>
      <c r="D31" s="21">
        <f>D27*(1-D27^12)/(1-D27)</f>
        <v/>
      </c>
      <c r="E31" s="21">
        <f>E27*(1-E27^12)/(1-E27)</f>
        <v/>
      </c>
      <c r="F31" s="21">
        <f>F27*(1-F27^12)/(1-F27)</f>
        <v/>
      </c>
      <c r="G31" s="21">
        <f>G27*(1-G27^12)/(1-G27)</f>
        <v/>
      </c>
      <c r="H31" s="21">
        <f>H27*(1-H27^12)/(1-H27)</f>
        <v/>
      </c>
      <c r="I31" s="21">
        <f>I27*(1-I27^12)/(1-I27)</f>
        <v/>
      </c>
      <c r="J31" s="21">
        <f>J27*(1-J27^12)/(1-J27)</f>
        <v/>
      </c>
      <c r="K31" s="21">
        <f>K27*(1-K27^12)/(1-K27)</f>
        <v/>
      </c>
      <c r="L31" s="21">
        <f>L27*(1-L27^12)/(1-L27)</f>
        <v/>
      </c>
    </row>
    <row r="32">
      <c r="A32" s="2" t="inlineStr">
        <is>
          <t>Popular average fans during year</t>
        </is>
      </c>
      <c r="B32" s="8" t="inlineStr">
        <is>
          <t>exact mean, revenue basis</t>
        </is>
      </c>
      <c r="C32" s="20">
        <f>(IF(1=1,0,C26)*C31+C29/(1-C27)*(12-C31))/12</f>
        <v/>
      </c>
      <c r="D32" s="20">
        <f>(IF(2=1,0,C26)*D31+D29/(1-D27)*(12-D31))/12</f>
        <v/>
      </c>
      <c r="E32" s="20">
        <f>(IF(3=1,0,D26)*E31+E29/(1-E27)*(12-E31))/12</f>
        <v/>
      </c>
      <c r="F32" s="20">
        <f>(IF(4=1,0,E26)*F31+F29/(1-F27)*(12-F31))/12</f>
        <v/>
      </c>
      <c r="G32" s="20">
        <f>(IF(5=1,0,F26)*G31+G29/(1-G27)*(12-G31))/12</f>
        <v/>
      </c>
      <c r="H32" s="20">
        <f>(IF(6=1,0,G26)*H31+H29/(1-H27)*(12-H31))/12</f>
        <v/>
      </c>
      <c r="I32" s="20">
        <f>(IF(7=1,0,H26)*I31+I29/(1-I27)*(12-I31))/12</f>
        <v/>
      </c>
      <c r="J32" s="20">
        <f>(IF(8=1,0,I26)*J31+J29/(1-J27)*(12-J31))/12</f>
        <v/>
      </c>
      <c r="K32" s="20">
        <f>(IF(9=1,0,J26)*K31+K29/(1-K27)*(12-K31))/12</f>
        <v/>
      </c>
      <c r="L32" s="20">
        <f>(IF(10=1,0,K26)*L31+L29/(1-L27)*(12-L31))/12</f>
        <v/>
      </c>
    </row>
    <row r="33">
      <c r="A33" s="7" t="inlineStr">
        <is>
          <t>Popular fans lost to churn</t>
        </is>
      </c>
      <c r="B33" s="8" t="inlineStr">
        <is>
          <t>avg x churn x 12</t>
        </is>
      </c>
      <c r="C33" s="19">
        <f>C32*12*Assumptions!C23</f>
        <v/>
      </c>
      <c r="D33" s="19">
        <f>D32*12*Assumptions!D23</f>
        <v/>
      </c>
      <c r="E33" s="19">
        <f>E32*12*Assumptions!E23</f>
        <v/>
      </c>
      <c r="F33" s="19">
        <f>F32*12*Assumptions!F23</f>
        <v/>
      </c>
      <c r="G33" s="19">
        <f>G32*12*Assumptions!G23</f>
        <v/>
      </c>
      <c r="H33" s="19">
        <f>H32*12*Assumptions!H23</f>
        <v/>
      </c>
      <c r="I33" s="19">
        <f>I32*12*Assumptions!I23</f>
        <v/>
      </c>
      <c r="J33" s="19">
        <f>J32*12*Assumptions!J23</f>
        <v/>
      </c>
      <c r="K33" s="19">
        <f>K32*12*Assumptions!K23</f>
        <v/>
      </c>
      <c r="L33" s="19">
        <f>L32*12*Assumptions!L23</f>
        <v/>
      </c>
    </row>
    <row r="35">
      <c r="A35" s="5" t="inlineStr">
        <is>
          <t>TOTALS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2" t="inlineStr">
        <is>
          <t>Paying fans (year end)</t>
        </is>
      </c>
      <c r="B36" s="8" t="inlineStr"/>
      <c r="C36" s="20">
        <f>C13+C26</f>
        <v/>
      </c>
      <c r="D36" s="20">
        <f>D13+D26</f>
        <v/>
      </c>
      <c r="E36" s="20">
        <f>E13+E26</f>
        <v/>
      </c>
      <c r="F36" s="20">
        <f>F13+F26</f>
        <v/>
      </c>
      <c r="G36" s="20">
        <f>G13+G26</f>
        <v/>
      </c>
      <c r="H36" s="20">
        <f>H13+H26</f>
        <v/>
      </c>
      <c r="I36" s="20">
        <f>I13+I26</f>
        <v/>
      </c>
      <c r="J36" s="20">
        <f>J13+J26</f>
        <v/>
      </c>
      <c r="K36" s="20">
        <f>K13+K26</f>
        <v/>
      </c>
      <c r="L36" s="20">
        <f>L13+L26</f>
        <v/>
      </c>
    </row>
    <row r="37">
      <c r="A37" s="2" t="inlineStr">
        <is>
          <t>Average paying fans</t>
        </is>
      </c>
      <c r="B37" s="8" t="inlineStr"/>
      <c r="C37" s="20">
        <f>C19+C32</f>
        <v/>
      </c>
      <c r="D37" s="20">
        <f>D19+D32</f>
        <v/>
      </c>
      <c r="E37" s="20">
        <f>E19+E32</f>
        <v/>
      </c>
      <c r="F37" s="20">
        <f>F19+F32</f>
        <v/>
      </c>
      <c r="G37" s="20">
        <f>G19+G32</f>
        <v/>
      </c>
      <c r="H37" s="20">
        <f>H19+H32</f>
        <v/>
      </c>
      <c r="I37" s="20">
        <f>I19+I32</f>
        <v/>
      </c>
      <c r="J37" s="20">
        <f>J19+J32</f>
        <v/>
      </c>
      <c r="K37" s="20">
        <f>K19+K32</f>
        <v/>
      </c>
      <c r="L37" s="20">
        <f>L19+L32</f>
        <v/>
      </c>
    </row>
    <row r="38">
      <c r="A38" s="7" t="inlineStr">
        <is>
          <t>Athletes acquired (gross)</t>
        </is>
      </c>
      <c r="B38" s="8" t="inlineStr"/>
      <c r="C38" s="19">
        <f>C11+C24</f>
        <v/>
      </c>
      <c r="D38" s="19">
        <f>D11+D24</f>
        <v/>
      </c>
      <c r="E38" s="19">
        <f>E11+E24</f>
        <v/>
      </c>
      <c r="F38" s="19">
        <f>F11+F24</f>
        <v/>
      </c>
      <c r="G38" s="19">
        <f>G11+G24</f>
        <v/>
      </c>
      <c r="H38" s="19">
        <f>H11+H24</f>
        <v/>
      </c>
      <c r="I38" s="19">
        <f>I11+I24</f>
        <v/>
      </c>
      <c r="J38" s="19">
        <f>J11+J24</f>
        <v/>
      </c>
      <c r="K38" s="19">
        <f>K11+K24</f>
        <v/>
      </c>
      <c r="L38" s="19">
        <f>L11+L24</f>
        <v/>
      </c>
    </row>
    <row r="39">
      <c r="A39" s="7" t="inlineStr">
        <is>
          <t>Fans lost to churn</t>
        </is>
      </c>
      <c r="B39" s="8" t="inlineStr"/>
      <c r="C39" s="19">
        <f>C20+C33</f>
        <v/>
      </c>
      <c r="D39" s="19">
        <f>D20+D33</f>
        <v/>
      </c>
      <c r="E39" s="19">
        <f>E20+E33</f>
        <v/>
      </c>
      <c r="F39" s="19">
        <f>F20+F33</f>
        <v/>
      </c>
      <c r="G39" s="19">
        <f>G20+G33</f>
        <v/>
      </c>
      <c r="H39" s="19">
        <f>H20+H33</f>
        <v/>
      </c>
      <c r="I39" s="19">
        <f>I20+I33</f>
        <v/>
      </c>
      <c r="J39" s="19">
        <f>J20+J33</f>
        <v/>
      </c>
      <c r="K39" s="19">
        <f>K20+K33</f>
        <v/>
      </c>
      <c r="L39" s="19">
        <f>L20+L33</f>
        <v/>
      </c>
    </row>
    <row r="41">
      <c r="A41" s="5" t="inlineStr">
        <is>
          <t>DEALS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7" t="inlineStr">
        <is>
          <t>Niche deals</t>
        </is>
      </c>
      <c r="B42" s="8" t="inlineStr"/>
      <c r="C42" s="19">
        <f>C6*Assumptions!C14*Assumptions!C15</f>
        <v/>
      </c>
      <c r="D42" s="19">
        <f>D6*Assumptions!D14*Assumptions!D15</f>
        <v/>
      </c>
      <c r="E42" s="19">
        <f>E6*Assumptions!E14*Assumptions!E15</f>
        <v/>
      </c>
      <c r="F42" s="19">
        <f>F6*Assumptions!F14*Assumptions!F15</f>
        <v/>
      </c>
      <c r="G42" s="19">
        <f>G6*Assumptions!G14*Assumptions!G15</f>
        <v/>
      </c>
      <c r="H42" s="19">
        <f>H6*Assumptions!H14*Assumptions!H15</f>
        <v/>
      </c>
      <c r="I42" s="19">
        <f>I6*Assumptions!I14*Assumptions!I15</f>
        <v/>
      </c>
      <c r="J42" s="19">
        <f>J6*Assumptions!J14*Assumptions!J15</f>
        <v/>
      </c>
      <c r="K42" s="19">
        <f>K6*Assumptions!K14*Assumptions!K15</f>
        <v/>
      </c>
      <c r="L42" s="19">
        <f>L6*Assumptions!L14*Assumptions!L15</f>
        <v/>
      </c>
    </row>
    <row r="43">
      <c r="A43" s="7" t="inlineStr">
        <is>
          <t>Popular deals</t>
        </is>
      </c>
      <c r="B43" s="8" t="inlineStr"/>
      <c r="C43" s="19">
        <f>C7*Assumptions!C25*Assumptions!C26</f>
        <v/>
      </c>
      <c r="D43" s="19">
        <f>D7*Assumptions!D25*Assumptions!D26</f>
        <v/>
      </c>
      <c r="E43" s="19">
        <f>E7*Assumptions!E25*Assumptions!E26</f>
        <v/>
      </c>
      <c r="F43" s="19">
        <f>F7*Assumptions!F25*Assumptions!F26</f>
        <v/>
      </c>
      <c r="G43" s="19">
        <f>G7*Assumptions!G25*Assumptions!G26</f>
        <v/>
      </c>
      <c r="H43" s="19">
        <f>H7*Assumptions!H25*Assumptions!H26</f>
        <v/>
      </c>
      <c r="I43" s="19">
        <f>I7*Assumptions!I25*Assumptions!I26</f>
        <v/>
      </c>
      <c r="J43" s="19">
        <f>J7*Assumptions!J25*Assumptions!J26</f>
        <v/>
      </c>
      <c r="K43" s="19">
        <f>K7*Assumptions!K25*Assumptions!K26</f>
        <v/>
      </c>
      <c r="L43" s="19">
        <f>L7*Assumptions!L25*Assumptions!L26</f>
        <v/>
      </c>
    </row>
    <row r="44">
      <c r="A44" s="2" t="inlineStr">
        <is>
          <t>Total deals</t>
        </is>
      </c>
      <c r="B44" s="8" t="inlineStr"/>
      <c r="C44" s="20">
        <f>C42+C43</f>
        <v/>
      </c>
      <c r="D44" s="20">
        <f>D42+D43</f>
        <v/>
      </c>
      <c r="E44" s="20">
        <f>E42+E43</f>
        <v/>
      </c>
      <c r="F44" s="20">
        <f>F42+F43</f>
        <v/>
      </c>
      <c r="G44" s="20">
        <f>G42+G43</f>
        <v/>
      </c>
      <c r="H44" s="20">
        <f>H42+H43</f>
        <v/>
      </c>
      <c r="I44" s="20">
        <f>I42+I43</f>
        <v/>
      </c>
      <c r="J44" s="20">
        <f>J42+J43</f>
        <v/>
      </c>
      <c r="K44" s="20">
        <f>K42+K43</f>
        <v/>
      </c>
      <c r="L44" s="20">
        <f>L42+L43</f>
        <v/>
      </c>
    </row>
    <row r="45">
      <c r="A45" s="7" t="inlineStr">
        <is>
          <t>Paying sponsors</t>
        </is>
      </c>
      <c r="B45" s="8" t="inlineStr"/>
      <c r="C45" s="19">
        <f>Assumptions!C31*Assumptions!C32</f>
        <v/>
      </c>
      <c r="D45" s="19">
        <f>Assumptions!D31*Assumptions!D32</f>
        <v/>
      </c>
      <c r="E45" s="19">
        <f>Assumptions!E31*Assumptions!E32</f>
        <v/>
      </c>
      <c r="F45" s="19">
        <f>Assumptions!F31*Assumptions!F32</f>
        <v/>
      </c>
      <c r="G45" s="19">
        <f>Assumptions!G31*Assumptions!G32</f>
        <v/>
      </c>
      <c r="H45" s="19">
        <f>Assumptions!H31*Assumptions!H32</f>
        <v/>
      </c>
      <c r="I45" s="19">
        <f>Assumptions!I31*Assumptions!I32</f>
        <v/>
      </c>
      <c r="J45" s="19">
        <f>Assumptions!J31*Assumptions!J32</f>
        <v/>
      </c>
      <c r="K45" s="19">
        <f>Assumptions!K31*Assumptions!K32</f>
        <v/>
      </c>
      <c r="L45" s="19">
        <f>Assumptions!L31*Assumptions!L32</f>
        <v/>
      </c>
    </row>
    <row r="46">
      <c r="A46" s="7" t="inlineStr">
        <is>
          <t>Sponsors acquired (gross)</t>
        </is>
      </c>
      <c r="B46" s="8" t="inlineStr"/>
      <c r="C46" s="19">
        <f>MAX(0,Assumptions!C31-IF(1=1,0,Assumptions!C31))</f>
        <v/>
      </c>
      <c r="D46" s="19">
        <f>MAX(0,Assumptions!D31-IF(2=1,0,Assumptions!C31))</f>
        <v/>
      </c>
      <c r="E46" s="19">
        <f>MAX(0,Assumptions!E31-IF(3=1,0,Assumptions!D31))</f>
        <v/>
      </c>
      <c r="F46" s="19">
        <f>MAX(0,Assumptions!F31-IF(4=1,0,Assumptions!E31))</f>
        <v/>
      </c>
      <c r="G46" s="19">
        <f>MAX(0,Assumptions!G31-IF(5=1,0,Assumptions!F31))</f>
        <v/>
      </c>
      <c r="H46" s="19">
        <f>MAX(0,Assumptions!H31-IF(6=1,0,Assumptions!G31))</f>
        <v/>
      </c>
      <c r="I46" s="19">
        <f>MAX(0,Assumptions!I31-IF(7=1,0,Assumptions!H31))</f>
        <v/>
      </c>
      <c r="J46" s="19">
        <f>MAX(0,Assumptions!J31-IF(8=1,0,Assumptions!I31))</f>
        <v/>
      </c>
      <c r="K46" s="19">
        <f>MAX(0,Assumptions!K31-IF(9=1,0,Assumptions!J31))</f>
        <v/>
      </c>
      <c r="L46" s="19">
        <f>MAX(0,Assumptions!L31-IF(10=1,0,Assumptions!K31))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Revenue — GMV built stream by stream, then our take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FAN GMV — what fans pay athletes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Niche subscription GMV</t>
        </is>
      </c>
      <c r="B5" s="8" t="inlineStr">
        <is>
          <t>avg fans x ARPU x 12</t>
        </is>
      </c>
      <c r="C5" s="22">
        <f>Drivers!C19*Assumptions!C11*12</f>
        <v/>
      </c>
      <c r="D5" s="22">
        <f>Drivers!D19*Assumptions!D11*12</f>
        <v/>
      </c>
      <c r="E5" s="22">
        <f>Drivers!E19*Assumptions!E11*12</f>
        <v/>
      </c>
      <c r="F5" s="22">
        <f>Drivers!F19*Assumptions!F11*12</f>
        <v/>
      </c>
      <c r="G5" s="22">
        <f>Drivers!G19*Assumptions!G11*12</f>
        <v/>
      </c>
      <c r="H5" s="22">
        <f>Drivers!H19*Assumptions!H11*12</f>
        <v/>
      </c>
      <c r="I5" s="22">
        <f>Drivers!I19*Assumptions!I11*12</f>
        <v/>
      </c>
      <c r="J5" s="22">
        <f>Drivers!J19*Assumptions!J11*12</f>
        <v/>
      </c>
      <c r="K5" s="22">
        <f>Drivers!K19*Assumptions!K11*12</f>
        <v/>
      </c>
      <c r="L5" s="22">
        <f>Drivers!L19*Assumptions!L11*12</f>
        <v/>
      </c>
    </row>
    <row r="6">
      <c r="A6" s="7" t="inlineStr">
        <is>
          <t>Popular subscription GMV</t>
        </is>
      </c>
      <c r="B6" s="8" t="inlineStr"/>
      <c r="C6" s="22">
        <f>Drivers!C32*Assumptions!C22*12</f>
        <v/>
      </c>
      <c r="D6" s="22">
        <f>Drivers!D32*Assumptions!D22*12</f>
        <v/>
      </c>
      <c r="E6" s="22">
        <f>Drivers!E32*Assumptions!E22*12</f>
        <v/>
      </c>
      <c r="F6" s="22">
        <f>Drivers!F32*Assumptions!F22*12</f>
        <v/>
      </c>
      <c r="G6" s="22">
        <f>Drivers!G32*Assumptions!G22*12</f>
        <v/>
      </c>
      <c r="H6" s="22">
        <f>Drivers!H32*Assumptions!H22*12</f>
        <v/>
      </c>
      <c r="I6" s="22">
        <f>Drivers!I32*Assumptions!I22*12</f>
        <v/>
      </c>
      <c r="J6" s="22">
        <f>Drivers!J32*Assumptions!J22*12</f>
        <v/>
      </c>
      <c r="K6" s="22">
        <f>Drivers!K32*Assumptions!K22*12</f>
        <v/>
      </c>
      <c r="L6" s="22">
        <f>Drivers!L32*Assumptions!L22*12</f>
        <v/>
      </c>
    </row>
    <row r="7">
      <c r="A7" s="2" t="inlineStr">
        <is>
          <t>Subscription GMV</t>
        </is>
      </c>
      <c r="B7" s="8" t="inlineStr"/>
      <c r="C7" s="23">
        <f>C5+C6</f>
        <v/>
      </c>
      <c r="D7" s="23">
        <f>D5+D6</f>
        <v/>
      </c>
      <c r="E7" s="23">
        <f>E5+E6</f>
        <v/>
      </c>
      <c r="F7" s="23">
        <f>F5+F6</f>
        <v/>
      </c>
      <c r="G7" s="23">
        <f>G5+G6</f>
        <v/>
      </c>
      <c r="H7" s="23">
        <f>H5+H6</f>
        <v/>
      </c>
      <c r="I7" s="23">
        <f>I5+I6</f>
        <v/>
      </c>
      <c r="J7" s="23">
        <f>J5+J6</f>
        <v/>
      </c>
      <c r="K7" s="23">
        <f>K5+K6</f>
        <v/>
      </c>
      <c r="L7" s="23">
        <f>L5+L6</f>
        <v/>
      </c>
    </row>
    <row r="8">
      <c r="A8" s="7" t="inlineStr">
        <is>
          <t>PPV and tips GMV</t>
        </is>
      </c>
      <c r="B8" s="8" t="inlineStr">
        <is>
          <t>x multiple</t>
        </is>
      </c>
      <c r="C8" s="22">
        <f>C7*Assumptions!C39</f>
        <v/>
      </c>
      <c r="D8" s="22">
        <f>D7*Assumptions!D39</f>
        <v/>
      </c>
      <c r="E8" s="22">
        <f>E7*Assumptions!E39</f>
        <v/>
      </c>
      <c r="F8" s="22">
        <f>F7*Assumptions!F39</f>
        <v/>
      </c>
      <c r="G8" s="22">
        <f>G7*Assumptions!G39</f>
        <v/>
      </c>
      <c r="H8" s="22">
        <f>H7*Assumptions!H39</f>
        <v/>
      </c>
      <c r="I8" s="22">
        <f>I7*Assumptions!I39</f>
        <v/>
      </c>
      <c r="J8" s="22">
        <f>J7*Assumptions!J39</f>
        <v/>
      </c>
      <c r="K8" s="22">
        <f>K7*Assumptions!K39</f>
        <v/>
      </c>
      <c r="L8" s="22">
        <f>L7*Assumptions!L39</f>
        <v/>
      </c>
    </row>
    <row r="9">
      <c r="A9" s="24" t="inlineStr">
        <is>
          <t>Total fan GMV</t>
        </is>
      </c>
      <c r="B9" s="25" t="inlineStr"/>
      <c r="C9" s="26">
        <f>C7+C8</f>
        <v/>
      </c>
      <c r="D9" s="26">
        <f>D7+D8</f>
        <v/>
      </c>
      <c r="E9" s="26">
        <f>E7+E8</f>
        <v/>
      </c>
      <c r="F9" s="26">
        <f>F7+F8</f>
        <v/>
      </c>
      <c r="G9" s="26">
        <f>G7+G8</f>
        <v/>
      </c>
      <c r="H9" s="26">
        <f>H7+H8</f>
        <v/>
      </c>
      <c r="I9" s="26">
        <f>I7+I8</f>
        <v/>
      </c>
      <c r="J9" s="26">
        <f>J7+J8</f>
        <v/>
      </c>
      <c r="K9" s="26">
        <f>K7+K8</f>
        <v/>
      </c>
      <c r="L9" s="26">
        <f>L7+L8</f>
        <v/>
      </c>
    </row>
    <row r="11">
      <c r="A11" s="5" t="inlineStr">
        <is>
          <t>SPONSORSHIP GMV — what sponsors pay athletes and clubs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7" t="inlineStr">
        <is>
          <t>Niche sponsorship GMV</t>
        </is>
      </c>
      <c r="B12" s="8" t="inlineStr"/>
      <c r="C12" s="22">
        <f>Drivers!C42*Assumptions!C16</f>
        <v/>
      </c>
      <c r="D12" s="22">
        <f>Drivers!D42*Assumptions!D16</f>
        <v/>
      </c>
      <c r="E12" s="22">
        <f>Drivers!E42*Assumptions!E16</f>
        <v/>
      </c>
      <c r="F12" s="22">
        <f>Drivers!F42*Assumptions!F16</f>
        <v/>
      </c>
      <c r="G12" s="22">
        <f>Drivers!G42*Assumptions!G16</f>
        <v/>
      </c>
      <c r="H12" s="22">
        <f>Drivers!H42*Assumptions!H16</f>
        <v/>
      </c>
      <c r="I12" s="22">
        <f>Drivers!I42*Assumptions!I16</f>
        <v/>
      </c>
      <c r="J12" s="22">
        <f>Drivers!J42*Assumptions!J16</f>
        <v/>
      </c>
      <c r="K12" s="22">
        <f>Drivers!K42*Assumptions!K16</f>
        <v/>
      </c>
      <c r="L12" s="22">
        <f>Drivers!L42*Assumptions!L16</f>
        <v/>
      </c>
    </row>
    <row r="13">
      <c r="A13" s="7" t="inlineStr">
        <is>
          <t>Popular sponsorship GMV</t>
        </is>
      </c>
      <c r="B13" s="8" t="inlineStr"/>
      <c r="C13" s="22">
        <f>Drivers!C43*Assumptions!C27</f>
        <v/>
      </c>
      <c r="D13" s="22">
        <f>Drivers!D43*Assumptions!D27</f>
        <v/>
      </c>
      <c r="E13" s="22">
        <f>Drivers!E43*Assumptions!E27</f>
        <v/>
      </c>
      <c r="F13" s="22">
        <f>Drivers!F43*Assumptions!F27</f>
        <v/>
      </c>
      <c r="G13" s="22">
        <f>Drivers!G43*Assumptions!G27</f>
        <v/>
      </c>
      <c r="H13" s="22">
        <f>Drivers!H43*Assumptions!H27</f>
        <v/>
      </c>
      <c r="I13" s="22">
        <f>Drivers!I43*Assumptions!I27</f>
        <v/>
      </c>
      <c r="J13" s="22">
        <f>Drivers!J43*Assumptions!J27</f>
        <v/>
      </c>
      <c r="K13" s="22">
        <f>Drivers!K43*Assumptions!K27</f>
        <v/>
      </c>
      <c r="L13" s="22">
        <f>Drivers!L43*Assumptions!L27</f>
        <v/>
      </c>
    </row>
    <row r="14">
      <c r="A14" s="24" t="inlineStr">
        <is>
          <t>Total sponsorship GMV</t>
        </is>
      </c>
      <c r="B14" s="25" t="inlineStr"/>
      <c r="C14" s="26">
        <f>C12+C13</f>
        <v/>
      </c>
      <c r="D14" s="26">
        <f>D12+D13</f>
        <v/>
      </c>
      <c r="E14" s="26">
        <f>E12+E13</f>
        <v/>
      </c>
      <c r="F14" s="26">
        <f>F12+F13</f>
        <v/>
      </c>
      <c r="G14" s="26">
        <f>G12+G13</f>
        <v/>
      </c>
      <c r="H14" s="26">
        <f>H12+H13</f>
        <v/>
      </c>
      <c r="I14" s="26">
        <f>I12+I13</f>
        <v/>
      </c>
      <c r="J14" s="26">
        <f>J12+J13</f>
        <v/>
      </c>
      <c r="K14" s="26">
        <f>K12+K13</f>
        <v/>
      </c>
      <c r="L14" s="26">
        <f>L12+L13</f>
        <v/>
      </c>
    </row>
    <row r="15">
      <c r="A15" s="27" t="inlineStr">
        <is>
          <t>TOTAL GMV</t>
        </is>
      </c>
      <c r="B15" s="8" t="inlineStr"/>
      <c r="C15" s="28">
        <f>C9+C14</f>
        <v/>
      </c>
      <c r="D15" s="28">
        <f>D9+D14</f>
        <v/>
      </c>
      <c r="E15" s="28">
        <f>E9+E14</f>
        <v/>
      </c>
      <c r="F15" s="28">
        <f>F9+F14</f>
        <v/>
      </c>
      <c r="G15" s="28">
        <f>G9+G14</f>
        <v/>
      </c>
      <c r="H15" s="28">
        <f>H9+H14</f>
        <v/>
      </c>
      <c r="I15" s="28">
        <f>I9+I14</f>
        <v/>
      </c>
      <c r="J15" s="28">
        <f>J9+J14</f>
        <v/>
      </c>
      <c r="K15" s="28">
        <f>K9+K14</f>
        <v/>
      </c>
      <c r="L15" s="28">
        <f>L9+L14</f>
        <v/>
      </c>
    </row>
    <row r="17">
      <c r="A17" s="5" t="inlineStr">
        <is>
          <t>NET REVENUE — our share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7" t="inlineStr">
        <is>
          <t>Fan take</t>
        </is>
      </c>
      <c r="B18" s="8" t="inlineStr">
        <is>
          <t>fan GMV x take rate</t>
        </is>
      </c>
      <c r="C18" s="22">
        <f>C9*Assumptions!C37</f>
        <v/>
      </c>
      <c r="D18" s="22">
        <f>D9*Assumptions!D37</f>
        <v/>
      </c>
      <c r="E18" s="22">
        <f>E9*Assumptions!E37</f>
        <v/>
      </c>
      <c r="F18" s="22">
        <f>F9*Assumptions!F37</f>
        <v/>
      </c>
      <c r="G18" s="22">
        <f>G9*Assumptions!G37</f>
        <v/>
      </c>
      <c r="H18" s="22">
        <f>H9*Assumptions!H37</f>
        <v/>
      </c>
      <c r="I18" s="22">
        <f>I9*Assumptions!I37</f>
        <v/>
      </c>
      <c r="J18" s="22">
        <f>J9*Assumptions!J37</f>
        <v/>
      </c>
      <c r="K18" s="22">
        <f>K9*Assumptions!K37</f>
        <v/>
      </c>
      <c r="L18" s="22">
        <f>L9*Assumptions!L37</f>
        <v/>
      </c>
    </row>
    <row r="19">
      <c r="A19" s="7" t="inlineStr">
        <is>
          <t>Sponsorship take</t>
        </is>
      </c>
      <c r="B19" s="8" t="inlineStr"/>
      <c r="C19" s="22">
        <f>C14*Assumptions!C38</f>
        <v/>
      </c>
      <c r="D19" s="22">
        <f>D14*Assumptions!D38</f>
        <v/>
      </c>
      <c r="E19" s="22">
        <f>E14*Assumptions!E38</f>
        <v/>
      </c>
      <c r="F19" s="22">
        <f>F14*Assumptions!F38</f>
        <v/>
      </c>
      <c r="G19" s="22">
        <f>G14*Assumptions!G38</f>
        <v/>
      </c>
      <c r="H19" s="22">
        <f>H14*Assumptions!H38</f>
        <v/>
      </c>
      <c r="I19" s="22">
        <f>I14*Assumptions!I38</f>
        <v/>
      </c>
      <c r="J19" s="22">
        <f>J14*Assumptions!J38</f>
        <v/>
      </c>
      <c r="K19" s="22">
        <f>K14*Assumptions!K38</f>
        <v/>
      </c>
      <c r="L19" s="22">
        <f>L14*Assumptions!L38</f>
        <v/>
      </c>
    </row>
    <row r="20">
      <c r="A20" s="7" t="inlineStr">
        <is>
          <t>Sponsor SaaS</t>
        </is>
      </c>
      <c r="B20" s="8" t="inlineStr">
        <is>
          <t>paying sponsors x ARPU x 12</t>
        </is>
      </c>
      <c r="C20" s="22">
        <f>Drivers!C45*Assumptions!C33*12</f>
        <v/>
      </c>
      <c r="D20" s="22">
        <f>Drivers!D45*Assumptions!D33*12</f>
        <v/>
      </c>
      <c r="E20" s="22">
        <f>Drivers!E45*Assumptions!E33*12</f>
        <v/>
      </c>
      <c r="F20" s="22">
        <f>Drivers!F45*Assumptions!F33*12</f>
        <v/>
      </c>
      <c r="G20" s="22">
        <f>Drivers!G45*Assumptions!G33*12</f>
        <v/>
      </c>
      <c r="H20" s="22">
        <f>Drivers!H45*Assumptions!H33*12</f>
        <v/>
      </c>
      <c r="I20" s="22">
        <f>Drivers!I45*Assumptions!I33*12</f>
        <v/>
      </c>
      <c r="J20" s="22">
        <f>Drivers!J45*Assumptions!J33*12</f>
        <v/>
      </c>
      <c r="K20" s="22">
        <f>Drivers!K45*Assumptions!K33*12</f>
        <v/>
      </c>
      <c r="L20" s="22">
        <f>Drivers!L45*Assumptions!L33*12</f>
        <v/>
      </c>
    </row>
    <row r="21">
      <c r="A21" s="29" t="inlineStr">
        <is>
          <t>NET REVENUE</t>
        </is>
      </c>
      <c r="B21" s="25" t="inlineStr"/>
      <c r="C21" s="30">
        <f>SUM(C18:C20)</f>
        <v/>
      </c>
      <c r="D21" s="30">
        <f>SUM(D18:D20)</f>
        <v/>
      </c>
      <c r="E21" s="30">
        <f>SUM(E18:E20)</f>
        <v/>
      </c>
      <c r="F21" s="30">
        <f>SUM(F18:F20)</f>
        <v/>
      </c>
      <c r="G21" s="30">
        <f>SUM(G18:G20)</f>
        <v/>
      </c>
      <c r="H21" s="30">
        <f>SUM(H18:H20)</f>
        <v/>
      </c>
      <c r="I21" s="30">
        <f>SUM(I18:I20)</f>
        <v/>
      </c>
      <c r="J21" s="30">
        <f>SUM(J18:J20)</f>
        <v/>
      </c>
      <c r="K21" s="30">
        <f>SUM(K18:K20)</f>
        <v/>
      </c>
      <c r="L21" s="30">
        <f>SUM(L18:L20)</f>
        <v/>
      </c>
    </row>
    <row r="22">
      <c r="A22" s="7" t="inlineStr">
        <is>
          <t>Growth</t>
        </is>
      </c>
      <c r="B22" s="8" t="inlineStr">
        <is>
          <t>% YoY</t>
        </is>
      </c>
      <c r="C22" s="31">
        <f>IF(1=1,"",C21/C21-1)</f>
        <v/>
      </c>
      <c r="D22" s="31">
        <f>IF(2=1,"",D21/C21-1)</f>
        <v/>
      </c>
      <c r="E22" s="31">
        <f>IF(3=1,"",E21/D21-1)</f>
        <v/>
      </c>
      <c r="F22" s="31">
        <f>IF(4=1,"",F21/E21-1)</f>
        <v/>
      </c>
      <c r="G22" s="31">
        <f>IF(5=1,"",G21/F21-1)</f>
        <v/>
      </c>
      <c r="H22" s="31">
        <f>IF(6=1,"",H21/G21-1)</f>
        <v/>
      </c>
      <c r="I22" s="31">
        <f>IF(7=1,"",I21/H21-1)</f>
        <v/>
      </c>
      <c r="J22" s="31">
        <f>IF(8=1,"",J21/I21-1)</f>
        <v/>
      </c>
      <c r="K22" s="31">
        <f>IF(9=1,"",K21/J21-1)</f>
        <v/>
      </c>
      <c r="L22" s="31">
        <f>IF(10=1,"",L21/K21-1)</f>
        <v/>
      </c>
    </row>
    <row r="23">
      <c r="A23" s="7" t="inlineStr">
        <is>
          <t>Take rate on GMV</t>
        </is>
      </c>
      <c r="B23" s="8" t="inlineStr">
        <is>
          <t>blended</t>
        </is>
      </c>
      <c r="C23" s="31">
        <f>C21/C15</f>
        <v/>
      </c>
      <c r="D23" s="31">
        <f>D21/D15</f>
        <v/>
      </c>
      <c r="E23" s="31">
        <f>E21/E15</f>
        <v/>
      </c>
      <c r="F23" s="31">
        <f>F21/F15</f>
        <v/>
      </c>
      <c r="G23" s="31">
        <f>G21/G15</f>
        <v/>
      </c>
      <c r="H23" s="31">
        <f>H21/H15</f>
        <v/>
      </c>
      <c r="I23" s="31">
        <f>I21/I15</f>
        <v/>
      </c>
      <c r="J23" s="31">
        <f>J21/J15</f>
        <v/>
      </c>
      <c r="K23" s="31">
        <f>K21/K15</f>
        <v/>
      </c>
      <c r="L23" s="31">
        <f>L21/L15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Costs — every line built from its driver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COST OF SALES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Fan transactions</t>
        </is>
      </c>
      <c r="B5" s="8" t="inlineStr">
        <is>
          <t>fan GMV / avg ticket</t>
        </is>
      </c>
      <c r="C5" s="19">
        <f>Revenue!C9/Assumptions!C44</f>
        <v/>
      </c>
      <c r="D5" s="19">
        <f>Revenue!D9/Assumptions!D44</f>
        <v/>
      </c>
      <c r="E5" s="19">
        <f>Revenue!E9/Assumptions!E44</f>
        <v/>
      </c>
      <c r="F5" s="19">
        <f>Revenue!F9/Assumptions!F44</f>
        <v/>
      </c>
      <c r="G5" s="19">
        <f>Revenue!G9/Assumptions!G44</f>
        <v/>
      </c>
      <c r="H5" s="19">
        <f>Revenue!H9/Assumptions!H44</f>
        <v/>
      </c>
      <c r="I5" s="19">
        <f>Revenue!I9/Assumptions!I44</f>
        <v/>
      </c>
      <c r="J5" s="19">
        <f>Revenue!J9/Assumptions!J44</f>
        <v/>
      </c>
      <c r="K5" s="19">
        <f>Revenue!K9/Assumptions!K44</f>
        <v/>
      </c>
      <c r="L5" s="19">
        <f>Revenue!L9/Assumptions!L44</f>
        <v/>
      </c>
    </row>
    <row r="6">
      <c r="A6" s="7" t="inlineStr">
        <is>
          <t>Deal transactions</t>
        </is>
      </c>
      <c r="B6" s="8" t="inlineStr">
        <is>
          <t>count</t>
        </is>
      </c>
      <c r="C6" s="19">
        <f>Revenue!C14/Assumptions!C45</f>
        <v/>
      </c>
      <c r="D6" s="19">
        <f>Revenue!D14/Assumptions!D45</f>
        <v/>
      </c>
      <c r="E6" s="19">
        <f>Revenue!E14/Assumptions!E45</f>
        <v/>
      </c>
      <c r="F6" s="19">
        <f>Revenue!F14/Assumptions!F45</f>
        <v/>
      </c>
      <c r="G6" s="19">
        <f>Revenue!G14/Assumptions!G45</f>
        <v/>
      </c>
      <c r="H6" s="19">
        <f>Revenue!H14/Assumptions!H45</f>
        <v/>
      </c>
      <c r="I6" s="19">
        <f>Revenue!I14/Assumptions!I45</f>
        <v/>
      </c>
      <c r="J6" s="19">
        <f>Revenue!J14/Assumptions!J45</f>
        <v/>
      </c>
      <c r="K6" s="19">
        <f>Revenue!K14/Assumptions!K45</f>
        <v/>
      </c>
      <c r="L6" s="19">
        <f>Revenue!L14/Assumptions!L45</f>
        <v/>
      </c>
    </row>
    <row r="7">
      <c r="A7" s="7" t="inlineStr">
        <is>
          <t>Payment processing</t>
        </is>
      </c>
      <c r="B7" s="8" t="inlineStr">
        <is>
          <t>% of GMV + fixed</t>
        </is>
      </c>
      <c r="C7" s="22">
        <f>Revenue!C15*Assumptions!C40+(C5+C6)*Assumptions!C41</f>
        <v/>
      </c>
      <c r="D7" s="22">
        <f>Revenue!D15*Assumptions!D40+(D5+D6)*Assumptions!D41</f>
        <v/>
      </c>
      <c r="E7" s="22">
        <f>Revenue!E15*Assumptions!E40+(E5+E6)*Assumptions!E41</f>
        <v/>
      </c>
      <c r="F7" s="22">
        <f>Revenue!F15*Assumptions!F40+(F5+F6)*Assumptions!F41</f>
        <v/>
      </c>
      <c r="G7" s="22">
        <f>Revenue!G15*Assumptions!G40+(G5+G6)*Assumptions!G41</f>
        <v/>
      </c>
      <c r="H7" s="22">
        <f>Revenue!H15*Assumptions!H40+(H5+H6)*Assumptions!H41</f>
        <v/>
      </c>
      <c r="I7" s="22">
        <f>Revenue!I15*Assumptions!I40+(I5+I6)*Assumptions!I41</f>
        <v/>
      </c>
      <c r="J7" s="22">
        <f>Revenue!J15*Assumptions!J40+(J5+J6)*Assumptions!J41</f>
        <v/>
      </c>
      <c r="K7" s="22">
        <f>Revenue!K15*Assumptions!K40+(K5+K6)*Assumptions!K41</f>
        <v/>
      </c>
      <c r="L7" s="22">
        <f>Revenue!L15*Assumptions!L40+(L5+L6)*Assumptions!L41</f>
        <v/>
      </c>
    </row>
    <row r="8">
      <c r="A8" s="7" t="inlineStr">
        <is>
          <t>Payouts to athletes</t>
        </is>
      </c>
      <c r="B8" s="8" t="inlineStr">
        <is>
          <t>% + fixed</t>
        </is>
      </c>
      <c r="C8" s="22">
        <f>Revenue!C15*Assumptions!C42+(C5/30+C6)*Assumptions!C43</f>
        <v/>
      </c>
      <c r="D8" s="22">
        <f>Revenue!D15*Assumptions!D42+(D5/30+D6)*Assumptions!D43</f>
        <v/>
      </c>
      <c r="E8" s="22">
        <f>Revenue!E15*Assumptions!E42+(E5/30+E6)*Assumptions!E43</f>
        <v/>
      </c>
      <c r="F8" s="22">
        <f>Revenue!F15*Assumptions!F42+(F5/30+F6)*Assumptions!F43</f>
        <v/>
      </c>
      <c r="G8" s="22">
        <f>Revenue!G15*Assumptions!G42+(G5/30+G6)*Assumptions!G43</f>
        <v/>
      </c>
      <c r="H8" s="22">
        <f>Revenue!H15*Assumptions!H42+(H5/30+H6)*Assumptions!H43</f>
        <v/>
      </c>
      <c r="I8" s="22">
        <f>Revenue!I15*Assumptions!I42+(I5/30+I6)*Assumptions!I43</f>
        <v/>
      </c>
      <c r="J8" s="22">
        <f>Revenue!J15*Assumptions!J42+(J5/30+J6)*Assumptions!J43</f>
        <v/>
      </c>
      <c r="K8" s="22">
        <f>Revenue!K15*Assumptions!K42+(K5/30+K6)*Assumptions!K43</f>
        <v/>
      </c>
      <c r="L8" s="22">
        <f>Revenue!L15*Assumptions!L42+(L5/30+L6)*Assumptions!L43</f>
        <v/>
      </c>
    </row>
    <row r="9">
      <c r="A9" s="7" t="inlineStr">
        <is>
          <t>Media egress GB</t>
        </is>
      </c>
      <c r="B9" s="8" t="inlineStr">
        <is>
          <t>GB/yr</t>
        </is>
      </c>
      <c r="C9" s="19">
        <f>Drivers!C37*Assumptions!C49*12</f>
        <v/>
      </c>
      <c r="D9" s="19">
        <f>Drivers!D37*Assumptions!D49*12</f>
        <v/>
      </c>
      <c r="E9" s="19">
        <f>Drivers!E37*Assumptions!E49*12</f>
        <v/>
      </c>
      <c r="F9" s="19">
        <f>Drivers!F37*Assumptions!F49*12</f>
        <v/>
      </c>
      <c r="G9" s="19">
        <f>Drivers!G37*Assumptions!G49*12</f>
        <v/>
      </c>
      <c r="H9" s="19">
        <f>Drivers!H37*Assumptions!H49*12</f>
        <v/>
      </c>
      <c r="I9" s="19">
        <f>Drivers!I37*Assumptions!I49*12</f>
        <v/>
      </c>
      <c r="J9" s="19">
        <f>Drivers!J37*Assumptions!J49*12</f>
        <v/>
      </c>
      <c r="K9" s="19">
        <f>Drivers!K37*Assumptions!K49*12</f>
        <v/>
      </c>
      <c r="L9" s="19">
        <f>Drivers!L37*Assumptions!L49*12</f>
        <v/>
      </c>
    </row>
    <row r="10">
      <c r="A10" s="7" t="inlineStr">
        <is>
          <t>Infrastructure (AWS + CDN)</t>
        </is>
      </c>
      <c r="B10" s="8" t="inlineStr">
        <is>
          <t>base + egress</t>
        </is>
      </c>
      <c r="C10" s="22">
        <f>Assumptions!C48*12+C9*Assumptions!C50</f>
        <v/>
      </c>
      <c r="D10" s="22">
        <f>Assumptions!D48*12+D9*Assumptions!D50</f>
        <v/>
      </c>
      <c r="E10" s="22">
        <f>Assumptions!E48*12+E9*Assumptions!E50</f>
        <v/>
      </c>
      <c r="F10" s="22">
        <f>Assumptions!F48*12+F9*Assumptions!F50</f>
        <v/>
      </c>
      <c r="G10" s="22">
        <f>Assumptions!G48*12+G9*Assumptions!G50</f>
        <v/>
      </c>
      <c r="H10" s="22">
        <f>Assumptions!H48*12+H9*Assumptions!H50</f>
        <v/>
      </c>
      <c r="I10" s="22">
        <f>Assumptions!I48*12+I9*Assumptions!I50</f>
        <v/>
      </c>
      <c r="J10" s="22">
        <f>Assumptions!J48*12+J9*Assumptions!J50</f>
        <v/>
      </c>
      <c r="K10" s="22">
        <f>Assumptions!K48*12+K9*Assumptions!K50</f>
        <v/>
      </c>
      <c r="L10" s="22">
        <f>Assumptions!L48*12+L9*Assumptions!L50</f>
        <v/>
      </c>
    </row>
    <row r="11">
      <c r="A11" s="7" t="inlineStr">
        <is>
          <t xml:space="preserve">  memo: same egress at CloudFront list</t>
        </is>
      </c>
      <c r="B11" s="8" t="inlineStr">
        <is>
          <t>the trap</t>
        </is>
      </c>
      <c r="C11" s="32">
        <f>Assumptions!C48*12+C9*Assumptions!C51</f>
        <v/>
      </c>
      <c r="D11" s="32">
        <f>Assumptions!D48*12+D9*Assumptions!D51</f>
        <v/>
      </c>
      <c r="E11" s="32">
        <f>Assumptions!E48*12+E9*Assumptions!E51</f>
        <v/>
      </c>
      <c r="F11" s="32">
        <f>Assumptions!F48*12+F9*Assumptions!F51</f>
        <v/>
      </c>
      <c r="G11" s="32">
        <f>Assumptions!G48*12+G9*Assumptions!G51</f>
        <v/>
      </c>
      <c r="H11" s="32">
        <f>Assumptions!H48*12+H9*Assumptions!H51</f>
        <v/>
      </c>
      <c r="I11" s="32">
        <f>Assumptions!I48*12+I9*Assumptions!I51</f>
        <v/>
      </c>
      <c r="J11" s="32">
        <f>Assumptions!J48*12+J9*Assumptions!J51</f>
        <v/>
      </c>
      <c r="K11" s="32">
        <f>Assumptions!K48*12+K9*Assumptions!K51</f>
        <v/>
      </c>
      <c r="L11" s="32">
        <f>Assumptions!L48*12+L9*Assumptions!L51</f>
        <v/>
      </c>
    </row>
    <row r="12">
      <c r="A12" s="7" t="inlineStr">
        <is>
          <t>Moderation</t>
        </is>
      </c>
      <c r="B12" s="8" t="inlineStr">
        <is>
          <t>items x rate</t>
        </is>
      </c>
      <c r="C12" s="22">
        <f>Drivers!C5*Assumptions!C53*12/1000*Assumptions!C52</f>
        <v/>
      </c>
      <c r="D12" s="22">
        <f>Drivers!D5*Assumptions!D53*12/1000*Assumptions!D52</f>
        <v/>
      </c>
      <c r="E12" s="22">
        <f>Drivers!E5*Assumptions!E53*12/1000*Assumptions!E52</f>
        <v/>
      </c>
      <c r="F12" s="22">
        <f>Drivers!F5*Assumptions!F53*12/1000*Assumptions!F52</f>
        <v/>
      </c>
      <c r="G12" s="22">
        <f>Drivers!G5*Assumptions!G53*12/1000*Assumptions!G52</f>
        <v/>
      </c>
      <c r="H12" s="22">
        <f>Drivers!H5*Assumptions!H53*12/1000*Assumptions!H52</f>
        <v/>
      </c>
      <c r="I12" s="22">
        <f>Drivers!I5*Assumptions!I53*12/1000*Assumptions!I52</f>
        <v/>
      </c>
      <c r="J12" s="22">
        <f>Drivers!J5*Assumptions!J53*12/1000*Assumptions!J52</f>
        <v/>
      </c>
      <c r="K12" s="22">
        <f>Drivers!K5*Assumptions!K53*12/1000*Assumptions!K52</f>
        <v/>
      </c>
      <c r="L12" s="22">
        <f>Drivers!L5*Assumptions!L53*12/1000*Assumptions!L52</f>
        <v/>
      </c>
    </row>
    <row r="13">
      <c r="A13" s="29" t="inlineStr">
        <is>
          <t>TOTAL COST OF SALES</t>
        </is>
      </c>
      <c r="B13" s="25" t="inlineStr"/>
      <c r="C13" s="30">
        <f>C7+C8+C10+C12</f>
        <v/>
      </c>
      <c r="D13" s="30">
        <f>D7+D8+D10+D12</f>
        <v/>
      </c>
      <c r="E13" s="30">
        <f>E7+E8+E10+E12</f>
        <v/>
      </c>
      <c r="F13" s="30">
        <f>F7+F8+F10+F12</f>
        <v/>
      </c>
      <c r="G13" s="30">
        <f>G7+G8+G10+G12</f>
        <v/>
      </c>
      <c r="H13" s="30">
        <f>H7+H8+H10+H12</f>
        <v/>
      </c>
      <c r="I13" s="30">
        <f>I7+I8+I10+I12</f>
        <v/>
      </c>
      <c r="J13" s="30">
        <f>J7+J8+J10+J12</f>
        <v/>
      </c>
      <c r="K13" s="30">
        <f>K7+K8+K10+K12</f>
        <v/>
      </c>
      <c r="L13" s="30">
        <f>L7+L8+L10+L12</f>
        <v/>
      </c>
    </row>
    <row r="15">
      <c r="A15" s="5" t="inlineStr">
        <is>
          <t>OPERATING COSTS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7" t="inlineStr">
        <is>
          <t>People</t>
        </is>
      </c>
      <c r="B16" s="8" t="inlineStr">
        <is>
          <t>FTE x loaded salary</t>
        </is>
      </c>
      <c r="C16" s="22">
        <f>Assumptions!C56*Assumptions!C57</f>
        <v/>
      </c>
      <c r="D16" s="22">
        <f>Assumptions!D56*Assumptions!D57</f>
        <v/>
      </c>
      <c r="E16" s="22">
        <f>Assumptions!E56*Assumptions!E57</f>
        <v/>
      </c>
      <c r="F16" s="22">
        <f>Assumptions!F56*Assumptions!F57</f>
        <v/>
      </c>
      <c r="G16" s="22">
        <f>Assumptions!G56*Assumptions!G57</f>
        <v/>
      </c>
      <c r="H16" s="22">
        <f>Assumptions!H56*Assumptions!H57</f>
        <v/>
      </c>
      <c r="I16" s="22">
        <f>Assumptions!I56*Assumptions!I57</f>
        <v/>
      </c>
      <c r="J16" s="22">
        <f>Assumptions!J56*Assumptions!J57</f>
        <v/>
      </c>
      <c r="K16" s="22">
        <f>Assumptions!K56*Assumptions!K57</f>
        <v/>
      </c>
      <c r="L16" s="22">
        <f>Assumptions!L56*Assumptions!L57</f>
        <v/>
      </c>
    </row>
    <row r="17">
      <c r="A17" s="7" t="inlineStr">
        <is>
          <t>Athlete acquisition — niche</t>
        </is>
      </c>
      <c r="B17" s="8" t="inlineStr">
        <is>
          <t>gross adds x CAC</t>
        </is>
      </c>
      <c r="C17" s="22">
        <f>Drivers!C11*Assumptions!C17</f>
        <v/>
      </c>
      <c r="D17" s="22">
        <f>Drivers!D11*Assumptions!D17</f>
        <v/>
      </c>
      <c r="E17" s="22">
        <f>Drivers!E11*Assumptions!E17</f>
        <v/>
      </c>
      <c r="F17" s="22">
        <f>Drivers!F11*Assumptions!F17</f>
        <v/>
      </c>
      <c r="G17" s="22">
        <f>Drivers!G11*Assumptions!G17</f>
        <v/>
      </c>
      <c r="H17" s="22">
        <f>Drivers!H11*Assumptions!H17</f>
        <v/>
      </c>
      <c r="I17" s="22">
        <f>Drivers!I11*Assumptions!I17</f>
        <v/>
      </c>
      <c r="J17" s="22">
        <f>Drivers!J11*Assumptions!J17</f>
        <v/>
      </c>
      <c r="K17" s="22">
        <f>Drivers!K11*Assumptions!K17</f>
        <v/>
      </c>
      <c r="L17" s="22">
        <f>Drivers!L11*Assumptions!L17</f>
        <v/>
      </c>
    </row>
    <row r="18">
      <c r="A18" s="7" t="inlineStr">
        <is>
          <t>Athlete acquisition — popular</t>
        </is>
      </c>
      <c r="B18" s="8" t="inlineStr"/>
      <c r="C18" s="22">
        <f>Drivers!C24*Assumptions!C28</f>
        <v/>
      </c>
      <c r="D18" s="22">
        <f>Drivers!D24*Assumptions!D28</f>
        <v/>
      </c>
      <c r="E18" s="22">
        <f>Drivers!E24*Assumptions!E28</f>
        <v/>
      </c>
      <c r="F18" s="22">
        <f>Drivers!F24*Assumptions!F28</f>
        <v/>
      </c>
      <c r="G18" s="22">
        <f>Drivers!G24*Assumptions!G28</f>
        <v/>
      </c>
      <c r="H18" s="22">
        <f>Drivers!H24*Assumptions!H28</f>
        <v/>
      </c>
      <c r="I18" s="22">
        <f>Drivers!I24*Assumptions!I28</f>
        <v/>
      </c>
      <c r="J18" s="22">
        <f>Drivers!J24*Assumptions!J28</f>
        <v/>
      </c>
      <c r="K18" s="22">
        <f>Drivers!K24*Assumptions!K28</f>
        <v/>
      </c>
      <c r="L18" s="22">
        <f>Drivers!L24*Assumptions!L28</f>
        <v/>
      </c>
    </row>
    <row r="19">
      <c r="A19" s="7" t="inlineStr">
        <is>
          <t>Sponsor acquisition</t>
        </is>
      </c>
      <c r="B19" s="8" t="inlineStr"/>
      <c r="C19" s="22">
        <f>Drivers!C46*Assumptions!C34</f>
        <v/>
      </c>
      <c r="D19" s="22">
        <f>Drivers!D46*Assumptions!D34</f>
        <v/>
      </c>
      <c r="E19" s="22">
        <f>Drivers!E46*Assumptions!E34</f>
        <v/>
      </c>
      <c r="F19" s="22">
        <f>Drivers!F46*Assumptions!F34</f>
        <v/>
      </c>
      <c r="G19" s="22">
        <f>Drivers!G46*Assumptions!G34</f>
        <v/>
      </c>
      <c r="H19" s="22">
        <f>Drivers!H46*Assumptions!H34</f>
        <v/>
      </c>
      <c r="I19" s="22">
        <f>Drivers!I46*Assumptions!I34</f>
        <v/>
      </c>
      <c r="J19" s="22">
        <f>Drivers!J46*Assumptions!J34</f>
        <v/>
      </c>
      <c r="K19" s="22">
        <f>Drivers!K46*Assumptions!K34</f>
        <v/>
      </c>
      <c r="L19" s="22">
        <f>Drivers!L46*Assumptions!L34</f>
        <v/>
      </c>
    </row>
    <row r="20">
      <c r="A20" s="2" t="inlineStr">
        <is>
          <t>Total marketing / CAC</t>
        </is>
      </c>
      <c r="B20" s="8" t="inlineStr"/>
      <c r="C20" s="23">
        <f>SUM(C17:C19)</f>
        <v/>
      </c>
      <c r="D20" s="23">
        <f>SUM(D17:D19)</f>
        <v/>
      </c>
      <c r="E20" s="23">
        <f>SUM(E17:E19)</f>
        <v/>
      </c>
      <c r="F20" s="23">
        <f>SUM(F17:F19)</f>
        <v/>
      </c>
      <c r="G20" s="23">
        <f>SUM(G17:G19)</f>
        <v/>
      </c>
      <c r="H20" s="23">
        <f>SUM(H17:H19)</f>
        <v/>
      </c>
      <c r="I20" s="23">
        <f>SUM(I17:I19)</f>
        <v/>
      </c>
      <c r="J20" s="23">
        <f>SUM(J17:J19)</f>
        <v/>
      </c>
      <c r="K20" s="23">
        <f>SUM(K17:K19)</f>
        <v/>
      </c>
      <c r="L20" s="23">
        <f>SUM(L17:L19)</f>
        <v/>
      </c>
    </row>
    <row r="21">
      <c r="A21" s="7" t="inlineStr">
        <is>
          <t>Legal &amp; compliance</t>
        </is>
      </c>
      <c r="B21" s="8" t="inlineStr"/>
      <c r="C21" s="33">
        <f>Assumptions!C58</f>
        <v/>
      </c>
      <c r="D21" s="33">
        <f>Assumptions!D58</f>
        <v/>
      </c>
      <c r="E21" s="33">
        <f>Assumptions!E58</f>
        <v/>
      </c>
      <c r="F21" s="33">
        <f>Assumptions!F58</f>
        <v/>
      </c>
      <c r="G21" s="33">
        <f>Assumptions!G58</f>
        <v/>
      </c>
      <c r="H21" s="33">
        <f>Assumptions!H58</f>
        <v/>
      </c>
      <c r="I21" s="33">
        <f>Assumptions!I58</f>
        <v/>
      </c>
      <c r="J21" s="33">
        <f>Assumptions!J58</f>
        <v/>
      </c>
      <c r="K21" s="33">
        <f>Assumptions!K58</f>
        <v/>
      </c>
      <c r="L21" s="33">
        <f>Assumptions!L58</f>
        <v/>
      </c>
    </row>
    <row r="22">
      <c r="A22" s="7" t="inlineStr">
        <is>
          <t>Other opex</t>
        </is>
      </c>
      <c r="B22" s="8" t="inlineStr">
        <is>
          <t>% of revenue</t>
        </is>
      </c>
      <c r="C22" s="22">
        <f>Revenue!C21*Assumptions!C59</f>
        <v/>
      </c>
      <c r="D22" s="22">
        <f>Revenue!D21*Assumptions!D59</f>
        <v/>
      </c>
      <c r="E22" s="22">
        <f>Revenue!E21*Assumptions!E59</f>
        <v/>
      </c>
      <c r="F22" s="22">
        <f>Revenue!F21*Assumptions!F59</f>
        <v/>
      </c>
      <c r="G22" s="22">
        <f>Revenue!G21*Assumptions!G59</f>
        <v/>
      </c>
      <c r="H22" s="22">
        <f>Revenue!H21*Assumptions!H59</f>
        <v/>
      </c>
      <c r="I22" s="22">
        <f>Revenue!I21*Assumptions!I59</f>
        <v/>
      </c>
      <c r="J22" s="22">
        <f>Revenue!J21*Assumptions!J59</f>
        <v/>
      </c>
      <c r="K22" s="22">
        <f>Revenue!K21*Assumptions!K59</f>
        <v/>
      </c>
      <c r="L22" s="22">
        <f>Revenue!L21*Assumptions!L59</f>
        <v/>
      </c>
    </row>
    <row r="23">
      <c r="A23" s="29" t="inlineStr">
        <is>
          <t>TOTAL OPERATING COSTS</t>
        </is>
      </c>
      <c r="B23" s="25" t="inlineStr"/>
      <c r="C23" s="30">
        <f>C16+C20+C21+C22</f>
        <v/>
      </c>
      <c r="D23" s="30">
        <f>D16+D20+D21+D22</f>
        <v/>
      </c>
      <c r="E23" s="30">
        <f>E16+E20+E21+E22</f>
        <v/>
      </c>
      <c r="F23" s="30">
        <f>F16+F20+F21+F22</f>
        <v/>
      </c>
      <c r="G23" s="30">
        <f>G16+G20+G21+G22</f>
        <v/>
      </c>
      <c r="H23" s="30">
        <f>H16+H20+H21+H22</f>
        <v/>
      </c>
      <c r="I23" s="30">
        <f>I16+I20+I21+I22</f>
        <v/>
      </c>
      <c r="J23" s="30">
        <f>J16+J20+J21+J22</f>
        <v/>
      </c>
      <c r="K23" s="30">
        <f>K16+K20+K21+K22</f>
        <v/>
      </c>
      <c r="L23" s="30">
        <f>L16+L20+L21+L22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Working capital, capex and amortisation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WORKING CAPITAL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Sponsor receivables</t>
        </is>
      </c>
      <c r="B5" s="8" t="inlineStr">
        <is>
          <t>SaaS+take x AR days/365</t>
        </is>
      </c>
      <c r="C5" s="22">
        <f>(Revenue!C19+Revenue!C20)*Assumptions!C63/365</f>
        <v/>
      </c>
      <c r="D5" s="22">
        <f>(Revenue!D19+Revenue!D20)*Assumptions!D63/365</f>
        <v/>
      </c>
      <c r="E5" s="22">
        <f>(Revenue!E19+Revenue!E20)*Assumptions!E63/365</f>
        <v/>
      </c>
      <c r="F5" s="22">
        <f>(Revenue!F19+Revenue!F20)*Assumptions!F63/365</f>
        <v/>
      </c>
      <c r="G5" s="22">
        <f>(Revenue!G19+Revenue!G20)*Assumptions!G63/365</f>
        <v/>
      </c>
      <c r="H5" s="22">
        <f>(Revenue!H19+Revenue!H20)*Assumptions!H63/365</f>
        <v/>
      </c>
      <c r="I5" s="22">
        <f>(Revenue!I19+Revenue!I20)*Assumptions!I63/365</f>
        <v/>
      </c>
      <c r="J5" s="22">
        <f>(Revenue!J19+Revenue!J20)*Assumptions!J63/365</f>
        <v/>
      </c>
      <c r="K5" s="22">
        <f>(Revenue!K19+Revenue!K20)*Assumptions!K63/365</f>
        <v/>
      </c>
      <c r="L5" s="22">
        <f>(Revenue!L19+Revenue!L20)*Assumptions!L63/365</f>
        <v/>
      </c>
    </row>
    <row r="6">
      <c r="A6" s="7" t="inlineStr">
        <is>
          <t>Athlete payout float</t>
        </is>
      </c>
      <c r="B6" s="8" t="inlineStr">
        <is>
          <t>GMV owed, not yet paid</t>
        </is>
      </c>
      <c r="C6" s="22">
        <f>Revenue!C15*Assumptions!C62/365</f>
        <v/>
      </c>
      <c r="D6" s="22">
        <f>Revenue!D15*Assumptions!D62/365</f>
        <v/>
      </c>
      <c r="E6" s="22">
        <f>Revenue!E15*Assumptions!E62/365</f>
        <v/>
      </c>
      <c r="F6" s="22">
        <f>Revenue!F15*Assumptions!F62/365</f>
        <v/>
      </c>
      <c r="G6" s="22">
        <f>Revenue!G15*Assumptions!G62/365</f>
        <v/>
      </c>
      <c r="H6" s="22">
        <f>Revenue!H15*Assumptions!H62/365</f>
        <v/>
      </c>
      <c r="I6" s="22">
        <f>Revenue!I15*Assumptions!I62/365</f>
        <v/>
      </c>
      <c r="J6" s="22">
        <f>Revenue!J15*Assumptions!J62/365</f>
        <v/>
      </c>
      <c r="K6" s="22">
        <f>Revenue!K15*Assumptions!K62/365</f>
        <v/>
      </c>
      <c r="L6" s="22">
        <f>Revenue!L15*Assumptions!L62/365</f>
        <v/>
      </c>
    </row>
    <row r="7">
      <c r="A7" s="7" t="inlineStr">
        <is>
          <t>Trade payables</t>
        </is>
      </c>
      <c r="B7" s="8" t="inlineStr">
        <is>
          <t>opex x AP days/365</t>
        </is>
      </c>
      <c r="C7" s="22">
        <f>Costs!C23*Assumptions!C64/365</f>
        <v/>
      </c>
      <c r="D7" s="22">
        <f>Costs!D23*Assumptions!D64/365</f>
        <v/>
      </c>
      <c r="E7" s="22">
        <f>Costs!E23*Assumptions!E64/365</f>
        <v/>
      </c>
      <c r="F7" s="22">
        <f>Costs!F23*Assumptions!F64/365</f>
        <v/>
      </c>
      <c r="G7" s="22">
        <f>Costs!G23*Assumptions!G64/365</f>
        <v/>
      </c>
      <c r="H7" s="22">
        <f>Costs!H23*Assumptions!H64/365</f>
        <v/>
      </c>
      <c r="I7" s="22">
        <f>Costs!I23*Assumptions!I64/365</f>
        <v/>
      </c>
      <c r="J7" s="22">
        <f>Costs!J23*Assumptions!J64/365</f>
        <v/>
      </c>
      <c r="K7" s="22">
        <f>Costs!K23*Assumptions!K64/365</f>
        <v/>
      </c>
      <c r="L7" s="22">
        <f>Costs!L23*Assumptions!L64/365</f>
        <v/>
      </c>
    </row>
    <row r="8">
      <c r="A8" s="2" t="inlineStr">
        <is>
          <t>Net working capital</t>
        </is>
      </c>
      <c r="B8" s="8" t="inlineStr">
        <is>
          <t>AR - float - AP</t>
        </is>
      </c>
      <c r="C8" s="23">
        <f>C5-C6-C7</f>
        <v/>
      </c>
      <c r="D8" s="23">
        <f>D5-D6-D7</f>
        <v/>
      </c>
      <c r="E8" s="23">
        <f>E5-E6-E7</f>
        <v/>
      </c>
      <c r="F8" s="23">
        <f>F5-F6-F7</f>
        <v/>
      </c>
      <c r="G8" s="23">
        <f>G5-G6-G7</f>
        <v/>
      </c>
      <c r="H8" s="23">
        <f>H5-H6-H7</f>
        <v/>
      </c>
      <c r="I8" s="23">
        <f>I5-I6-I7</f>
        <v/>
      </c>
      <c r="J8" s="23">
        <f>J5-J6-J7</f>
        <v/>
      </c>
      <c r="K8" s="23">
        <f>K5-K6-K7</f>
        <v/>
      </c>
      <c r="L8" s="23">
        <f>L5-L6-L7</f>
        <v/>
      </c>
    </row>
    <row r="9">
      <c r="A9" s="7" t="inlineStr">
        <is>
          <t>Change in NWC</t>
        </is>
      </c>
      <c r="B9" s="8" t="inlineStr">
        <is>
          <t>cash impact</t>
        </is>
      </c>
      <c r="C9" s="22">
        <f>IF(1=1,C8,C8-C8)</f>
        <v/>
      </c>
      <c r="D9" s="22">
        <f>IF(2=1,D8,D8-C8)</f>
        <v/>
      </c>
      <c r="E9" s="22">
        <f>IF(3=1,E8,E8-D8)</f>
        <v/>
      </c>
      <c r="F9" s="22">
        <f>IF(4=1,F8,F8-E8)</f>
        <v/>
      </c>
      <c r="G9" s="22">
        <f>IF(5=1,G8,G8-F8)</f>
        <v/>
      </c>
      <c r="H9" s="22">
        <f>IF(6=1,H8,H8-G8)</f>
        <v/>
      </c>
      <c r="I9" s="22">
        <f>IF(7=1,I8,I8-H8)</f>
        <v/>
      </c>
      <c r="J9" s="22">
        <f>IF(8=1,J8,J8-I8)</f>
        <v/>
      </c>
      <c r="K9" s="22">
        <f>IF(9=1,K8,K8-J8)</f>
        <v/>
      </c>
      <c r="L9" s="22">
        <f>IF(10=1,L8,L8-K8)</f>
        <v/>
      </c>
    </row>
    <row r="11">
      <c r="A11" s="5" t="inlineStr">
        <is>
          <t>CAPEX &amp; AMORTISATION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7" t="inlineStr">
        <is>
          <t>Capitalised development</t>
        </is>
      </c>
      <c r="B12" s="8" t="inlineStr">
        <is>
          <t>% of people cost</t>
        </is>
      </c>
      <c r="C12" s="22">
        <f>Costs!C16*Assumptions!C65</f>
        <v/>
      </c>
      <c r="D12" s="22">
        <f>Costs!D16*Assumptions!D65</f>
        <v/>
      </c>
      <c r="E12" s="22">
        <f>Costs!E16*Assumptions!E65</f>
        <v/>
      </c>
      <c r="F12" s="22">
        <f>Costs!F16*Assumptions!F65</f>
        <v/>
      </c>
      <c r="G12" s="22">
        <f>Costs!G16*Assumptions!G65</f>
        <v/>
      </c>
      <c r="H12" s="22">
        <f>Costs!H16*Assumptions!H65</f>
        <v/>
      </c>
      <c r="I12" s="22">
        <f>Costs!I16*Assumptions!I65</f>
        <v/>
      </c>
      <c r="J12" s="22">
        <f>Costs!J16*Assumptions!J65</f>
        <v/>
      </c>
      <c r="K12" s="22">
        <f>Costs!K16*Assumptions!K65</f>
        <v/>
      </c>
      <c r="L12" s="22">
        <f>Costs!L16*Assumptions!L65</f>
        <v/>
      </c>
    </row>
    <row r="13">
      <c r="A13" s="7" t="inlineStr">
        <is>
          <t>Amortisation</t>
        </is>
      </c>
      <c r="B13" s="8" t="inlineStr">
        <is>
          <t>3-yr straight line on trailing capex</t>
        </is>
      </c>
      <c r="C13" s="22">
        <f>SUM(OFFSET(C12,0,-MIN(Assumptions!C66-1,1-1),1,MIN(Assumptions!C66,1)))/Assumptions!C66</f>
        <v/>
      </c>
      <c r="D13" s="22">
        <f>SUM(OFFSET(D12,0,-MIN(Assumptions!D66-1,2-1),1,MIN(Assumptions!D66,2)))/Assumptions!D66</f>
        <v/>
      </c>
      <c r="E13" s="22">
        <f>SUM(OFFSET(E12,0,-MIN(Assumptions!E66-1,3-1),1,MIN(Assumptions!E66,3)))/Assumptions!E66</f>
        <v/>
      </c>
      <c r="F13" s="22">
        <f>SUM(OFFSET(F12,0,-MIN(Assumptions!F66-1,4-1),1,MIN(Assumptions!F66,4)))/Assumptions!F66</f>
        <v/>
      </c>
      <c r="G13" s="22">
        <f>SUM(OFFSET(G12,0,-MIN(Assumptions!G66-1,5-1),1,MIN(Assumptions!G66,5)))/Assumptions!G66</f>
        <v/>
      </c>
      <c r="H13" s="22">
        <f>SUM(OFFSET(H12,0,-MIN(Assumptions!H66-1,6-1),1,MIN(Assumptions!H66,6)))/Assumptions!H66</f>
        <v/>
      </c>
      <c r="I13" s="22">
        <f>SUM(OFFSET(I12,0,-MIN(Assumptions!I66-1,7-1),1,MIN(Assumptions!I66,7)))/Assumptions!I66</f>
        <v/>
      </c>
      <c r="J13" s="22">
        <f>SUM(OFFSET(J12,0,-MIN(Assumptions!J66-1,8-1),1,MIN(Assumptions!J66,8)))/Assumptions!J66</f>
        <v/>
      </c>
      <c r="K13" s="22">
        <f>SUM(OFFSET(K12,0,-MIN(Assumptions!K66-1,9-1),1,MIN(Assumptions!K66,9)))/Assumptions!K66</f>
        <v/>
      </c>
      <c r="L13" s="22">
        <f>SUM(OFFSET(L12,0,-MIN(Assumptions!L66-1,10-1),1,MIN(Assumptions!L66,10)))/Assumptions!L66</f>
        <v/>
      </c>
    </row>
    <row r="14">
      <c r="A14" s="7" t="inlineStr">
        <is>
          <t>Net intangible assets</t>
        </is>
      </c>
      <c r="B14" s="8" t="inlineStr">
        <is>
          <t>closing</t>
        </is>
      </c>
      <c r="C14" s="22">
        <f>IF(1=1,C12-C13,C14+C12-C13)</f>
        <v/>
      </c>
      <c r="D14" s="22">
        <f>IF(2=1,D12-D13,C14+D12-D13)</f>
        <v/>
      </c>
      <c r="E14" s="22">
        <f>IF(3=1,E12-E13,D14+E12-E13)</f>
        <v/>
      </c>
      <c r="F14" s="22">
        <f>IF(4=1,F12-F13,E14+F12-F13)</f>
        <v/>
      </c>
      <c r="G14" s="22">
        <f>IF(5=1,G12-G13,F14+G12-G13)</f>
        <v/>
      </c>
      <c r="H14" s="22">
        <f>IF(6=1,H12-H13,G14+H12-H13)</f>
        <v/>
      </c>
      <c r="I14" s="22">
        <f>IF(7=1,I12-I13,H14+I12-I13)</f>
        <v/>
      </c>
      <c r="J14" s="22">
        <f>IF(8=1,J12-J13,I14+J12-J13)</f>
        <v/>
      </c>
      <c r="K14" s="22">
        <f>IF(9=1,K12-K13,J14+K12-K13)</f>
        <v/>
      </c>
      <c r="L14" s="22">
        <f>IF(10=1,L12-L13,K14+L12-L13)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Income statement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2" t="inlineStr">
        <is>
          <t>Net revenue</t>
        </is>
      </c>
      <c r="B4" s="8" t="inlineStr"/>
      <c r="C4" s="34">
        <f>Revenue!C21</f>
        <v/>
      </c>
      <c r="D4" s="34">
        <f>Revenue!D21</f>
        <v/>
      </c>
      <c r="E4" s="34">
        <f>Revenue!E21</f>
        <v/>
      </c>
      <c r="F4" s="34">
        <f>Revenue!F21</f>
        <v/>
      </c>
      <c r="G4" s="34">
        <f>Revenue!G21</f>
        <v/>
      </c>
      <c r="H4" s="34">
        <f>Revenue!H21</f>
        <v/>
      </c>
      <c r="I4" s="34">
        <f>Revenue!I21</f>
        <v/>
      </c>
      <c r="J4" s="34">
        <f>Revenue!J21</f>
        <v/>
      </c>
      <c r="K4" s="34">
        <f>Revenue!K21</f>
        <v/>
      </c>
      <c r="L4" s="34">
        <f>Revenue!L21</f>
        <v/>
      </c>
    </row>
    <row r="5">
      <c r="A5" s="7" t="inlineStr">
        <is>
          <t>Cost of sales</t>
        </is>
      </c>
      <c r="B5" s="8" t="inlineStr"/>
      <c r="C5" s="33">
        <f>-Costs!C13</f>
        <v/>
      </c>
      <c r="D5" s="33">
        <f>-Costs!D13</f>
        <v/>
      </c>
      <c r="E5" s="33">
        <f>-Costs!E13</f>
        <v/>
      </c>
      <c r="F5" s="33">
        <f>-Costs!F13</f>
        <v/>
      </c>
      <c r="G5" s="33">
        <f>-Costs!G13</f>
        <v/>
      </c>
      <c r="H5" s="33">
        <f>-Costs!H13</f>
        <v/>
      </c>
      <c r="I5" s="33">
        <f>-Costs!I13</f>
        <v/>
      </c>
      <c r="J5" s="33">
        <f>-Costs!J13</f>
        <v/>
      </c>
      <c r="K5" s="33">
        <f>-Costs!K13</f>
        <v/>
      </c>
      <c r="L5" s="33">
        <f>-Costs!L13</f>
        <v/>
      </c>
    </row>
    <row r="6">
      <c r="A6" s="27" t="inlineStr">
        <is>
          <t>GROSS PROFIT</t>
        </is>
      </c>
      <c r="B6" s="8" t="inlineStr"/>
      <c r="C6" s="28">
        <f>C4+C5</f>
        <v/>
      </c>
      <c r="D6" s="28">
        <f>D4+D5</f>
        <v/>
      </c>
      <c r="E6" s="28">
        <f>E4+E5</f>
        <v/>
      </c>
      <c r="F6" s="28">
        <f>F4+F5</f>
        <v/>
      </c>
      <c r="G6" s="28">
        <f>G4+G5</f>
        <v/>
      </c>
      <c r="H6" s="28">
        <f>H4+H5</f>
        <v/>
      </c>
      <c r="I6" s="28">
        <f>I4+I5</f>
        <v/>
      </c>
      <c r="J6" s="28">
        <f>J4+J5</f>
        <v/>
      </c>
      <c r="K6" s="28">
        <f>K4+K5</f>
        <v/>
      </c>
      <c r="L6" s="28">
        <f>L4+L5</f>
        <v/>
      </c>
    </row>
    <row r="7">
      <c r="A7" s="7" t="inlineStr">
        <is>
          <t>Gross margin</t>
        </is>
      </c>
      <c r="B7" s="8" t="inlineStr"/>
      <c r="C7" s="31">
        <f>C6/C4</f>
        <v/>
      </c>
      <c r="D7" s="31">
        <f>D6/D4</f>
        <v/>
      </c>
      <c r="E7" s="31">
        <f>E6/E4</f>
        <v/>
      </c>
      <c r="F7" s="31">
        <f>F6/F4</f>
        <v/>
      </c>
      <c r="G7" s="31">
        <f>G6/G4</f>
        <v/>
      </c>
      <c r="H7" s="31">
        <f>H6/H4</f>
        <v/>
      </c>
      <c r="I7" s="31">
        <f>I6/I4</f>
        <v/>
      </c>
      <c r="J7" s="31">
        <f>J6/J4</f>
        <v/>
      </c>
      <c r="K7" s="31">
        <f>K6/K4</f>
        <v/>
      </c>
      <c r="L7" s="31">
        <f>L6/L4</f>
        <v/>
      </c>
    </row>
    <row r="9">
      <c r="A9" s="7" t="inlineStr">
        <is>
          <t>Operating costs</t>
        </is>
      </c>
      <c r="B9" s="8" t="inlineStr"/>
      <c r="C9" s="33">
        <f>-Costs!C23</f>
        <v/>
      </c>
      <c r="D9" s="33">
        <f>-Costs!D23</f>
        <v/>
      </c>
      <c r="E9" s="33">
        <f>-Costs!E23</f>
        <v/>
      </c>
      <c r="F9" s="33">
        <f>-Costs!F23</f>
        <v/>
      </c>
      <c r="G9" s="33">
        <f>-Costs!G23</f>
        <v/>
      </c>
      <c r="H9" s="33">
        <f>-Costs!H23</f>
        <v/>
      </c>
      <c r="I9" s="33">
        <f>-Costs!I23</f>
        <v/>
      </c>
      <c r="J9" s="33">
        <f>-Costs!J23</f>
        <v/>
      </c>
      <c r="K9" s="33">
        <f>-Costs!K23</f>
        <v/>
      </c>
      <c r="L9" s="33">
        <f>-Costs!L23</f>
        <v/>
      </c>
    </row>
    <row r="10">
      <c r="A10" s="29" t="inlineStr">
        <is>
          <t>EBITDA</t>
        </is>
      </c>
      <c r="B10" s="25" t="inlineStr"/>
      <c r="C10" s="30">
        <f>C6+C9</f>
        <v/>
      </c>
      <c r="D10" s="30">
        <f>D6+D9</f>
        <v/>
      </c>
      <c r="E10" s="30">
        <f>E6+E9</f>
        <v/>
      </c>
      <c r="F10" s="30">
        <f>F6+F9</f>
        <v/>
      </c>
      <c r="G10" s="30">
        <f>G6+G9</f>
        <v/>
      </c>
      <c r="H10" s="30">
        <f>H6+H9</f>
        <v/>
      </c>
      <c r="I10" s="30">
        <f>I6+I9</f>
        <v/>
      </c>
      <c r="J10" s="30">
        <f>J6+J9</f>
        <v/>
      </c>
      <c r="K10" s="30">
        <f>K6+K9</f>
        <v/>
      </c>
      <c r="L10" s="30">
        <f>L6+L9</f>
        <v/>
      </c>
    </row>
    <row r="11">
      <c r="A11" s="7" t="inlineStr">
        <is>
          <t>EBITDA margin</t>
        </is>
      </c>
      <c r="B11" s="8" t="inlineStr"/>
      <c r="C11" s="31">
        <f>C10/C4</f>
        <v/>
      </c>
      <c r="D11" s="31">
        <f>D10/D4</f>
        <v/>
      </c>
      <c r="E11" s="31">
        <f>E10/E4</f>
        <v/>
      </c>
      <c r="F11" s="31">
        <f>F10/F4</f>
        <v/>
      </c>
      <c r="G11" s="31">
        <f>G10/G4</f>
        <v/>
      </c>
      <c r="H11" s="31">
        <f>H10/H4</f>
        <v/>
      </c>
      <c r="I11" s="31">
        <f>I10/I4</f>
        <v/>
      </c>
      <c r="J11" s="31">
        <f>J10/J4</f>
        <v/>
      </c>
      <c r="K11" s="31">
        <f>K10/K4</f>
        <v/>
      </c>
      <c r="L11" s="31">
        <f>L10/L4</f>
        <v/>
      </c>
    </row>
    <row r="12">
      <c r="A12" s="7" t="inlineStr">
        <is>
          <t>Amortisation</t>
        </is>
      </c>
      <c r="B12" s="8" t="inlineStr"/>
      <c r="C12" s="33">
        <f>-WorkingCap!C13</f>
        <v/>
      </c>
      <c r="D12" s="33">
        <f>-WorkingCap!D13</f>
        <v/>
      </c>
      <c r="E12" s="33">
        <f>-WorkingCap!E13</f>
        <v/>
      </c>
      <c r="F12" s="33">
        <f>-WorkingCap!F13</f>
        <v/>
      </c>
      <c r="G12" s="33">
        <f>-WorkingCap!G13</f>
        <v/>
      </c>
      <c r="H12" s="33">
        <f>-WorkingCap!H13</f>
        <v/>
      </c>
      <c r="I12" s="33">
        <f>-WorkingCap!I13</f>
        <v/>
      </c>
      <c r="J12" s="33">
        <f>-WorkingCap!J13</f>
        <v/>
      </c>
      <c r="K12" s="33">
        <f>-WorkingCap!K13</f>
        <v/>
      </c>
      <c r="L12" s="33">
        <f>-WorkingCap!L13</f>
        <v/>
      </c>
    </row>
    <row r="13">
      <c r="A13" s="2" t="inlineStr">
        <is>
          <t>EBIT</t>
        </is>
      </c>
      <c r="B13" s="8" t="inlineStr"/>
      <c r="C13" s="23">
        <f>C10+C12</f>
        <v/>
      </c>
      <c r="D13" s="23">
        <f>D10+D12</f>
        <v/>
      </c>
      <c r="E13" s="23">
        <f>E10+E12</f>
        <v/>
      </c>
      <c r="F13" s="23">
        <f>F10+F12</f>
        <v/>
      </c>
      <c r="G13" s="23">
        <f>G10+G12</f>
        <v/>
      </c>
      <c r="H13" s="23">
        <f>H10+H12</f>
        <v/>
      </c>
      <c r="I13" s="23">
        <f>I10+I12</f>
        <v/>
      </c>
      <c r="J13" s="23">
        <f>J10+J12</f>
        <v/>
      </c>
      <c r="K13" s="23">
        <f>K10+K12</f>
        <v/>
      </c>
      <c r="L13" s="23">
        <f>L10+L12</f>
        <v/>
      </c>
    </row>
    <row r="15">
      <c r="A15" s="5" t="inlineStr">
        <is>
          <t>TAX — with loss carryforward and the startup-rate step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7" t="inlineStr">
        <is>
          <t>Losses brought forward</t>
        </is>
      </c>
      <c r="B16" s="8" t="inlineStr">
        <is>
          <t>accumulated</t>
        </is>
      </c>
      <c r="C16" s="22">
        <f>IF(1=1,0,MIN(0,C18))</f>
        <v/>
      </c>
      <c r="D16" s="22">
        <f>IF(2=1,0,MIN(0,C18))</f>
        <v/>
      </c>
      <c r="E16" s="22">
        <f>IF(3=1,0,MIN(0,D18))</f>
        <v/>
      </c>
      <c r="F16" s="22">
        <f>IF(4=1,0,MIN(0,E18))</f>
        <v/>
      </c>
      <c r="G16" s="22">
        <f>IF(5=1,0,MIN(0,F18))</f>
        <v/>
      </c>
      <c r="H16" s="22">
        <f>IF(6=1,0,MIN(0,G18))</f>
        <v/>
      </c>
      <c r="I16" s="22">
        <f>IF(7=1,0,MIN(0,H18))</f>
        <v/>
      </c>
      <c r="J16" s="22">
        <f>IF(8=1,0,MIN(0,I18))</f>
        <v/>
      </c>
      <c r="K16" s="22">
        <f>IF(9=1,0,MIN(0,J18))</f>
        <v/>
      </c>
      <c r="L16" s="22">
        <f>IF(10=1,0,MIN(0,K18))</f>
        <v/>
      </c>
    </row>
    <row r="17">
      <c r="A17" s="7" t="inlineStr">
        <is>
          <t>Taxable profit</t>
        </is>
      </c>
      <c r="B17" s="8" t="inlineStr">
        <is>
          <t>after offset</t>
        </is>
      </c>
      <c r="C17" s="22">
        <f>MAX(0,C13+C16)</f>
        <v/>
      </c>
      <c r="D17" s="22">
        <f>MAX(0,D13+D16)</f>
        <v/>
      </c>
      <c r="E17" s="22">
        <f>MAX(0,E13+E16)</f>
        <v/>
      </c>
      <c r="F17" s="22">
        <f>MAX(0,F13+F16)</f>
        <v/>
      </c>
      <c r="G17" s="22">
        <f>MAX(0,G13+G16)</f>
        <v/>
      </c>
      <c r="H17" s="22">
        <f>MAX(0,H13+H16)</f>
        <v/>
      </c>
      <c r="I17" s="22">
        <f>MAX(0,I13+I16)</f>
        <v/>
      </c>
      <c r="J17" s="22">
        <f>MAX(0,J13+J16)</f>
        <v/>
      </c>
      <c r="K17" s="22">
        <f>MAX(0,K13+K16)</f>
        <v/>
      </c>
      <c r="L17" s="22">
        <f>MAX(0,L13+L16)</f>
        <v/>
      </c>
    </row>
    <row r="18">
      <c r="A18" s="7" t="inlineStr">
        <is>
          <t>Losses carried forward</t>
        </is>
      </c>
      <c r="B18" s="8" t="inlineStr">
        <is>
          <t>running</t>
        </is>
      </c>
      <c r="C18" s="22">
        <f>MIN(0,C13+IF(1=1,0,C18))</f>
        <v/>
      </c>
      <c r="D18" s="22">
        <f>MIN(0,D13+IF(2=1,0,C18))</f>
        <v/>
      </c>
      <c r="E18" s="22">
        <f>MIN(0,E13+IF(3=1,0,D18))</f>
        <v/>
      </c>
      <c r="F18" s="22">
        <f>MIN(0,F13+IF(4=1,0,E18))</f>
        <v/>
      </c>
      <c r="G18" s="22">
        <f>MIN(0,G13+IF(5=1,0,F18))</f>
        <v/>
      </c>
      <c r="H18" s="22">
        <f>MIN(0,H13+IF(6=1,0,G18))</f>
        <v/>
      </c>
      <c r="I18" s="22">
        <f>MIN(0,I13+IF(7=1,0,H18))</f>
        <v/>
      </c>
      <c r="J18" s="22">
        <f>MIN(0,J13+IF(8=1,0,I18))</f>
        <v/>
      </c>
      <c r="K18" s="22">
        <f>MIN(0,K13+IF(9=1,0,J18))</f>
        <v/>
      </c>
      <c r="L18" s="22">
        <f>MIN(0,L13+IF(10=1,0,K18))</f>
        <v/>
      </c>
    </row>
    <row r="19">
      <c r="A19" s="7" t="inlineStr">
        <is>
          <t>Applicable tax rate</t>
        </is>
      </c>
      <c r="B19" s="8" t="inlineStr">
        <is>
          <t>15% then 25%</t>
        </is>
      </c>
      <c r="C19" s="31">
        <f>IF(C17&lt;=0,0,IF(COUNTIF($C17:C17,"&gt;0")&lt;=Assumptions!C69,Assumptions!C67,Assumptions!C68))</f>
        <v/>
      </c>
      <c r="D19" s="31">
        <f>IF(D17&lt;=0,0,IF(COUNTIF($C17:D17,"&gt;0")&lt;=Assumptions!D69,Assumptions!D67,Assumptions!D68))</f>
        <v/>
      </c>
      <c r="E19" s="31">
        <f>IF(E17&lt;=0,0,IF(COUNTIF($C17:E17,"&gt;0")&lt;=Assumptions!E69,Assumptions!E67,Assumptions!E68))</f>
        <v/>
      </c>
      <c r="F19" s="31">
        <f>IF(F17&lt;=0,0,IF(COUNTIF($C17:F17,"&gt;0")&lt;=Assumptions!F69,Assumptions!F67,Assumptions!F68))</f>
        <v/>
      </c>
      <c r="G19" s="31">
        <f>IF(G17&lt;=0,0,IF(COUNTIF($C17:G17,"&gt;0")&lt;=Assumptions!G69,Assumptions!G67,Assumptions!G68))</f>
        <v/>
      </c>
      <c r="H19" s="31">
        <f>IF(H17&lt;=0,0,IF(COUNTIF($C17:H17,"&gt;0")&lt;=Assumptions!H69,Assumptions!H67,Assumptions!H68))</f>
        <v/>
      </c>
      <c r="I19" s="31">
        <f>IF(I17&lt;=0,0,IF(COUNTIF($C17:I17,"&gt;0")&lt;=Assumptions!I69,Assumptions!I67,Assumptions!I68))</f>
        <v/>
      </c>
      <c r="J19" s="31">
        <f>IF(J17&lt;=0,0,IF(COUNTIF($C17:J17,"&gt;0")&lt;=Assumptions!J69,Assumptions!J67,Assumptions!J68))</f>
        <v/>
      </c>
      <c r="K19" s="31">
        <f>IF(K17&lt;=0,0,IF(COUNTIF($C17:K17,"&gt;0")&lt;=Assumptions!K69,Assumptions!K67,Assumptions!K68))</f>
        <v/>
      </c>
      <c r="L19" s="31">
        <f>IF(L17&lt;=0,0,IF(COUNTIF($C17:L17,"&gt;0")&lt;=Assumptions!L69,Assumptions!L67,Assumptions!L68))</f>
        <v/>
      </c>
    </row>
    <row r="20">
      <c r="A20" s="7" t="inlineStr">
        <is>
          <t>Tax charge</t>
        </is>
      </c>
      <c r="B20" s="8" t="inlineStr"/>
      <c r="C20" s="22">
        <f>-C17*C19</f>
        <v/>
      </c>
      <c r="D20" s="22">
        <f>-D17*D19</f>
        <v/>
      </c>
      <c r="E20" s="22">
        <f>-E17*E19</f>
        <v/>
      </c>
      <c r="F20" s="22">
        <f>-F17*F19</f>
        <v/>
      </c>
      <c r="G20" s="22">
        <f>-G17*G19</f>
        <v/>
      </c>
      <c r="H20" s="22">
        <f>-H17*H19</f>
        <v/>
      </c>
      <c r="I20" s="22">
        <f>-I17*I19</f>
        <v/>
      </c>
      <c r="J20" s="22">
        <f>-J17*J19</f>
        <v/>
      </c>
      <c r="K20" s="22">
        <f>-K17*K19</f>
        <v/>
      </c>
      <c r="L20" s="22">
        <f>-L17*L19</f>
        <v/>
      </c>
    </row>
    <row r="21">
      <c r="A21" s="29" t="inlineStr">
        <is>
          <t>NET PROFIT</t>
        </is>
      </c>
      <c r="B21" s="25" t="inlineStr"/>
      <c r="C21" s="30">
        <f>C13+C20</f>
        <v/>
      </c>
      <c r="D21" s="30">
        <f>D13+D20</f>
        <v/>
      </c>
      <c r="E21" s="30">
        <f>E13+E20</f>
        <v/>
      </c>
      <c r="F21" s="30">
        <f>F13+F20</f>
        <v/>
      </c>
      <c r="G21" s="30">
        <f>G13+G20</f>
        <v/>
      </c>
      <c r="H21" s="30">
        <f>H13+H20</f>
        <v/>
      </c>
      <c r="I21" s="30">
        <f>I13+I20</f>
        <v/>
      </c>
      <c r="J21" s="30">
        <f>J13+J20</f>
        <v/>
      </c>
      <c r="K21" s="30">
        <f>K13+K20</f>
        <v/>
      </c>
      <c r="L21" s="30">
        <f>L13+L20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Cash flow — indirect method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7" t="inlineStr">
        <is>
          <t>Net profit</t>
        </is>
      </c>
      <c r="B4" s="8" t="inlineStr"/>
      <c r="C4" s="33">
        <f>P&amp;L!C21</f>
        <v/>
      </c>
      <c r="D4" s="33">
        <f>P&amp;L!D21</f>
        <v/>
      </c>
      <c r="E4" s="33">
        <f>P&amp;L!E21</f>
        <v/>
      </c>
      <c r="F4" s="33">
        <f>P&amp;L!F21</f>
        <v/>
      </c>
      <c r="G4" s="33">
        <f>P&amp;L!G21</f>
        <v/>
      </c>
      <c r="H4" s="33">
        <f>P&amp;L!H21</f>
        <v/>
      </c>
      <c r="I4" s="33">
        <f>P&amp;L!I21</f>
        <v/>
      </c>
      <c r="J4" s="33">
        <f>P&amp;L!J21</f>
        <v/>
      </c>
      <c r="K4" s="33">
        <f>P&amp;L!K21</f>
        <v/>
      </c>
      <c r="L4" s="33">
        <f>P&amp;L!L21</f>
        <v/>
      </c>
    </row>
    <row r="5">
      <c r="A5" s="7" t="inlineStr">
        <is>
          <t>Add back amortisation</t>
        </is>
      </c>
      <c r="B5" s="8" t="inlineStr"/>
      <c r="C5" s="33">
        <f>WorkingCap!C13</f>
        <v/>
      </c>
      <c r="D5" s="33">
        <f>WorkingCap!D13</f>
        <v/>
      </c>
      <c r="E5" s="33">
        <f>WorkingCap!E13</f>
        <v/>
      </c>
      <c r="F5" s="33">
        <f>WorkingCap!F13</f>
        <v/>
      </c>
      <c r="G5" s="33">
        <f>WorkingCap!G13</f>
        <v/>
      </c>
      <c r="H5" s="33">
        <f>WorkingCap!H13</f>
        <v/>
      </c>
      <c r="I5" s="33">
        <f>WorkingCap!I13</f>
        <v/>
      </c>
      <c r="J5" s="33">
        <f>WorkingCap!J13</f>
        <v/>
      </c>
      <c r="K5" s="33">
        <f>WorkingCap!K13</f>
        <v/>
      </c>
      <c r="L5" s="33">
        <f>WorkingCap!L13</f>
        <v/>
      </c>
    </row>
    <row r="6">
      <c r="A6" s="7" t="inlineStr">
        <is>
          <t>Change in working capital</t>
        </is>
      </c>
      <c r="B6" s="8" t="inlineStr"/>
      <c r="C6" s="33">
        <f>-WorkingCap!C9</f>
        <v/>
      </c>
      <c r="D6" s="33">
        <f>-WorkingCap!D9</f>
        <v/>
      </c>
      <c r="E6" s="33">
        <f>-WorkingCap!E9</f>
        <v/>
      </c>
      <c r="F6" s="33">
        <f>-WorkingCap!F9</f>
        <v/>
      </c>
      <c r="G6" s="33">
        <f>-WorkingCap!G9</f>
        <v/>
      </c>
      <c r="H6" s="33">
        <f>-WorkingCap!H9</f>
        <v/>
      </c>
      <c r="I6" s="33">
        <f>-WorkingCap!I9</f>
        <v/>
      </c>
      <c r="J6" s="33">
        <f>-WorkingCap!J9</f>
        <v/>
      </c>
      <c r="K6" s="33">
        <f>-WorkingCap!K9</f>
        <v/>
      </c>
      <c r="L6" s="33">
        <f>-WorkingCap!L9</f>
        <v/>
      </c>
    </row>
    <row r="7">
      <c r="A7" s="27" t="inlineStr">
        <is>
          <t>OPERATING CASH FLOW</t>
        </is>
      </c>
      <c r="B7" s="8" t="inlineStr"/>
      <c r="C7" s="28">
        <f>SUM(C4:C6)</f>
        <v/>
      </c>
      <c r="D7" s="28">
        <f>SUM(D4:D6)</f>
        <v/>
      </c>
      <c r="E7" s="28">
        <f>SUM(E4:E6)</f>
        <v/>
      </c>
      <c r="F7" s="28">
        <f>SUM(F4:F6)</f>
        <v/>
      </c>
      <c r="G7" s="28">
        <f>SUM(G4:G6)</f>
        <v/>
      </c>
      <c r="H7" s="28">
        <f>SUM(H4:H6)</f>
        <v/>
      </c>
      <c r="I7" s="28">
        <f>SUM(I4:I6)</f>
        <v/>
      </c>
      <c r="J7" s="28">
        <f>SUM(J4:J6)</f>
        <v/>
      </c>
      <c r="K7" s="28">
        <f>SUM(K4:K6)</f>
        <v/>
      </c>
      <c r="L7" s="28">
        <f>SUM(L4:L6)</f>
        <v/>
      </c>
    </row>
    <row r="8">
      <c r="A8" s="7" t="inlineStr">
        <is>
          <t>Capital expenditure</t>
        </is>
      </c>
      <c r="B8" s="8" t="inlineStr"/>
      <c r="C8" s="33">
        <f>-WorkingCap!C12</f>
        <v/>
      </c>
      <c r="D8" s="33">
        <f>-WorkingCap!D12</f>
        <v/>
      </c>
      <c r="E8" s="33">
        <f>-WorkingCap!E12</f>
        <v/>
      </c>
      <c r="F8" s="33">
        <f>-WorkingCap!F12</f>
        <v/>
      </c>
      <c r="G8" s="33">
        <f>-WorkingCap!G12</f>
        <v/>
      </c>
      <c r="H8" s="33">
        <f>-WorkingCap!H12</f>
        <v/>
      </c>
      <c r="I8" s="33">
        <f>-WorkingCap!I12</f>
        <v/>
      </c>
      <c r="J8" s="33">
        <f>-WorkingCap!J12</f>
        <v/>
      </c>
      <c r="K8" s="33">
        <f>-WorkingCap!K12</f>
        <v/>
      </c>
      <c r="L8" s="33">
        <f>-WorkingCap!L12</f>
        <v/>
      </c>
    </row>
    <row r="9">
      <c r="A9" s="29" t="inlineStr">
        <is>
          <t>FREE CASH FLOW</t>
        </is>
      </c>
      <c r="B9" s="25" t="inlineStr"/>
      <c r="C9" s="30">
        <f>C7+C8</f>
        <v/>
      </c>
      <c r="D9" s="30">
        <f>D7+D8</f>
        <v/>
      </c>
      <c r="E9" s="30">
        <f>E7+E8</f>
        <v/>
      </c>
      <c r="F9" s="30">
        <f>F7+F8</f>
        <v/>
      </c>
      <c r="G9" s="30">
        <f>G7+G8</f>
        <v/>
      </c>
      <c r="H9" s="30">
        <f>H7+H8</f>
        <v/>
      </c>
      <c r="I9" s="30">
        <f>I7+I8</f>
        <v/>
      </c>
      <c r="J9" s="30">
        <f>J7+J8</f>
        <v/>
      </c>
      <c r="K9" s="30">
        <f>K7+K8</f>
        <v/>
      </c>
      <c r="L9" s="30">
        <f>L7+L8</f>
        <v/>
      </c>
    </row>
    <row r="10">
      <c r="A10" s="7" t="inlineStr">
        <is>
          <t>Cumulative free cash flow</t>
        </is>
      </c>
      <c r="B10" s="8" t="inlineStr"/>
      <c r="C10" s="22">
        <f>IF(1=1,C9,C10+C9)</f>
        <v/>
      </c>
      <c r="D10" s="22">
        <f>IF(2=1,D9,C10+D9)</f>
        <v/>
      </c>
      <c r="E10" s="22">
        <f>IF(3=1,E9,D10+E9)</f>
        <v/>
      </c>
      <c r="F10" s="22">
        <f>IF(4=1,F9,E10+F9)</f>
        <v/>
      </c>
      <c r="G10" s="22">
        <f>IF(5=1,G9,F10+G9)</f>
        <v/>
      </c>
      <c r="H10" s="22">
        <f>IF(6=1,H9,G10+H9)</f>
        <v/>
      </c>
      <c r="I10" s="22">
        <f>IF(7=1,I9,H10+I9)</f>
        <v/>
      </c>
      <c r="J10" s="22">
        <f>IF(8=1,J9,I10+J9)</f>
        <v/>
      </c>
      <c r="K10" s="22">
        <f>IF(9=1,K9,J10+K9)</f>
        <v/>
      </c>
      <c r="L10" s="22">
        <f>IF(10=1,L9,K10+L9)</f>
        <v/>
      </c>
    </row>
    <row r="12">
      <c r="A12" s="7" t="inlineStr">
        <is>
          <t>Equity raised</t>
        </is>
      </c>
      <c r="B12" s="8" t="inlineStr">
        <is>
          <t>see Funding</t>
        </is>
      </c>
      <c r="C12" s="33">
        <f>Funding!C5</f>
        <v/>
      </c>
      <c r="D12" s="33">
        <f>Funding!D5</f>
        <v/>
      </c>
      <c r="E12" s="33">
        <f>Funding!E5</f>
        <v/>
      </c>
      <c r="F12" s="33">
        <f>Funding!F5</f>
        <v/>
      </c>
      <c r="G12" s="33">
        <f>Funding!G5</f>
        <v/>
      </c>
      <c r="H12" s="33">
        <f>Funding!H5</f>
        <v/>
      </c>
      <c r="I12" s="33">
        <f>Funding!I5</f>
        <v/>
      </c>
      <c r="J12" s="33">
        <f>Funding!J5</f>
        <v/>
      </c>
      <c r="K12" s="33">
        <f>Funding!K5</f>
        <v/>
      </c>
      <c r="L12" s="33">
        <f>Funding!L5</f>
        <v/>
      </c>
    </row>
    <row r="13">
      <c r="A13" s="7" t="inlineStr">
        <is>
          <t>Opening cash</t>
        </is>
      </c>
      <c r="B13" s="8" t="inlineStr"/>
      <c r="C13" s="22">
        <f>IF(1=1,0,C14)</f>
        <v/>
      </c>
      <c r="D13" s="22">
        <f>IF(2=1,0,C14)</f>
        <v/>
      </c>
      <c r="E13" s="22">
        <f>IF(3=1,0,D14)</f>
        <v/>
      </c>
      <c r="F13" s="22">
        <f>IF(4=1,0,E14)</f>
        <v/>
      </c>
      <c r="G13" s="22">
        <f>IF(5=1,0,F14)</f>
        <v/>
      </c>
      <c r="H13" s="22">
        <f>IF(6=1,0,G14)</f>
        <v/>
      </c>
      <c r="I13" s="22">
        <f>IF(7=1,0,H14)</f>
        <v/>
      </c>
      <c r="J13" s="22">
        <f>IF(8=1,0,I14)</f>
        <v/>
      </c>
      <c r="K13" s="22">
        <f>IF(9=1,0,J14)</f>
        <v/>
      </c>
      <c r="L13" s="22">
        <f>IF(10=1,0,K14)</f>
        <v/>
      </c>
    </row>
    <row r="14">
      <c r="A14" s="29" t="inlineStr">
        <is>
          <t>CLOSING CASH</t>
        </is>
      </c>
      <c r="B14" s="25" t="inlineStr"/>
      <c r="C14" s="30">
        <f>C13+C9+C12</f>
        <v/>
      </c>
      <c r="D14" s="30">
        <f>D13+D9+D12</f>
        <v/>
      </c>
      <c r="E14" s="30">
        <f>E13+E9+E12</f>
        <v/>
      </c>
      <c r="F14" s="30">
        <f>F13+F9+F12</f>
        <v/>
      </c>
      <c r="G14" s="30">
        <f>G13+G9+G12</f>
        <v/>
      </c>
      <c r="H14" s="30">
        <f>H13+H9+H12</f>
        <v/>
      </c>
      <c r="I14" s="30">
        <f>I13+I9+I12</f>
        <v/>
      </c>
      <c r="J14" s="30">
        <f>J13+J9+J12</f>
        <v/>
      </c>
      <c r="K14" s="30">
        <f>K13+K9+K12</f>
        <v/>
      </c>
      <c r="L14" s="30">
        <f>L13+L9+L12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Balance sheet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7" t="inlineStr">
        <is>
          <t>Cash</t>
        </is>
      </c>
      <c r="B5" s="8" t="inlineStr"/>
      <c r="C5" s="33">
        <f>CashFlow!C14</f>
        <v/>
      </c>
      <c r="D5" s="33">
        <f>CashFlow!D14</f>
        <v/>
      </c>
      <c r="E5" s="33">
        <f>CashFlow!E14</f>
        <v/>
      </c>
      <c r="F5" s="33">
        <f>CashFlow!F14</f>
        <v/>
      </c>
      <c r="G5" s="33">
        <f>CashFlow!G14</f>
        <v/>
      </c>
      <c r="H5" s="33">
        <f>CashFlow!H14</f>
        <v/>
      </c>
      <c r="I5" s="33">
        <f>CashFlow!I14</f>
        <v/>
      </c>
      <c r="J5" s="33">
        <f>CashFlow!J14</f>
        <v/>
      </c>
      <c r="K5" s="33">
        <f>CashFlow!K14</f>
        <v/>
      </c>
      <c r="L5" s="33">
        <f>CashFlow!L14</f>
        <v/>
      </c>
    </row>
    <row r="6">
      <c r="A6" s="7" t="inlineStr">
        <is>
          <t>Sponsor receivables</t>
        </is>
      </c>
      <c r="B6" s="8" t="inlineStr"/>
      <c r="C6" s="33">
        <f>WorkingCap!C5</f>
        <v/>
      </c>
      <c r="D6" s="33">
        <f>WorkingCap!D5</f>
        <v/>
      </c>
      <c r="E6" s="33">
        <f>WorkingCap!E5</f>
        <v/>
      </c>
      <c r="F6" s="33">
        <f>WorkingCap!F5</f>
        <v/>
      </c>
      <c r="G6" s="33">
        <f>WorkingCap!G5</f>
        <v/>
      </c>
      <c r="H6" s="33">
        <f>WorkingCap!H5</f>
        <v/>
      </c>
      <c r="I6" s="33">
        <f>WorkingCap!I5</f>
        <v/>
      </c>
      <c r="J6" s="33">
        <f>WorkingCap!J5</f>
        <v/>
      </c>
      <c r="K6" s="33">
        <f>WorkingCap!K5</f>
        <v/>
      </c>
      <c r="L6" s="33">
        <f>WorkingCap!L5</f>
        <v/>
      </c>
    </row>
    <row r="7">
      <c r="A7" s="7" t="inlineStr">
        <is>
          <t>Net intangible assets</t>
        </is>
      </c>
      <c r="B7" s="8" t="inlineStr"/>
      <c r="C7" s="33">
        <f>WorkingCap!C14</f>
        <v/>
      </c>
      <c r="D7" s="33">
        <f>WorkingCap!D14</f>
        <v/>
      </c>
      <c r="E7" s="33">
        <f>WorkingCap!E14</f>
        <v/>
      </c>
      <c r="F7" s="33">
        <f>WorkingCap!F14</f>
        <v/>
      </c>
      <c r="G7" s="33">
        <f>WorkingCap!G14</f>
        <v/>
      </c>
      <c r="H7" s="33">
        <f>WorkingCap!H14</f>
        <v/>
      </c>
      <c r="I7" s="33">
        <f>WorkingCap!I14</f>
        <v/>
      </c>
      <c r="J7" s="33">
        <f>WorkingCap!J14</f>
        <v/>
      </c>
      <c r="K7" s="33">
        <f>WorkingCap!K14</f>
        <v/>
      </c>
      <c r="L7" s="33">
        <f>WorkingCap!L14</f>
        <v/>
      </c>
    </row>
    <row r="8">
      <c r="A8" s="29" t="inlineStr">
        <is>
          <t>TOTAL ASSETS</t>
        </is>
      </c>
      <c r="B8" s="25" t="inlineStr"/>
      <c r="C8" s="30">
        <f>SUM(C5:C7)</f>
        <v/>
      </c>
      <c r="D8" s="30">
        <f>SUM(D5:D7)</f>
        <v/>
      </c>
      <c r="E8" s="30">
        <f>SUM(E5:E7)</f>
        <v/>
      </c>
      <c r="F8" s="30">
        <f>SUM(F5:F7)</f>
        <v/>
      </c>
      <c r="G8" s="30">
        <f>SUM(G5:G7)</f>
        <v/>
      </c>
      <c r="H8" s="30">
        <f>SUM(H5:H7)</f>
        <v/>
      </c>
      <c r="I8" s="30">
        <f>SUM(I5:I7)</f>
        <v/>
      </c>
      <c r="J8" s="30">
        <f>SUM(J5:J7)</f>
        <v/>
      </c>
      <c r="K8" s="30">
        <f>SUM(K5:K7)</f>
        <v/>
      </c>
      <c r="L8" s="30">
        <f>SUM(L5:L7)</f>
        <v/>
      </c>
    </row>
    <row r="10">
      <c r="A10" s="5" t="inlineStr">
        <is>
          <t>LIABILITIES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7" t="inlineStr">
        <is>
          <t>Athlete payout float</t>
        </is>
      </c>
      <c r="B11" s="8" t="inlineStr"/>
      <c r="C11" s="33">
        <f>WorkingCap!C6</f>
        <v/>
      </c>
      <c r="D11" s="33">
        <f>WorkingCap!D6</f>
        <v/>
      </c>
      <c r="E11" s="33">
        <f>WorkingCap!E6</f>
        <v/>
      </c>
      <c r="F11" s="33">
        <f>WorkingCap!F6</f>
        <v/>
      </c>
      <c r="G11" s="33">
        <f>WorkingCap!G6</f>
        <v/>
      </c>
      <c r="H11" s="33">
        <f>WorkingCap!H6</f>
        <v/>
      </c>
      <c r="I11" s="33">
        <f>WorkingCap!I6</f>
        <v/>
      </c>
      <c r="J11" s="33">
        <f>WorkingCap!J6</f>
        <v/>
      </c>
      <c r="K11" s="33">
        <f>WorkingCap!K6</f>
        <v/>
      </c>
      <c r="L11" s="33">
        <f>WorkingCap!L6</f>
        <v/>
      </c>
    </row>
    <row r="12">
      <c r="A12" s="7" t="inlineStr">
        <is>
          <t>Trade payables</t>
        </is>
      </c>
      <c r="B12" s="8" t="inlineStr"/>
      <c r="C12" s="33">
        <f>WorkingCap!C7</f>
        <v/>
      </c>
      <c r="D12" s="33">
        <f>WorkingCap!D7</f>
        <v/>
      </c>
      <c r="E12" s="33">
        <f>WorkingCap!E7</f>
        <v/>
      </c>
      <c r="F12" s="33">
        <f>WorkingCap!F7</f>
        <v/>
      </c>
      <c r="G12" s="33">
        <f>WorkingCap!G7</f>
        <v/>
      </c>
      <c r="H12" s="33">
        <f>WorkingCap!H7</f>
        <v/>
      </c>
      <c r="I12" s="33">
        <f>WorkingCap!I7</f>
        <v/>
      </c>
      <c r="J12" s="33">
        <f>WorkingCap!J7</f>
        <v/>
      </c>
      <c r="K12" s="33">
        <f>WorkingCap!K7</f>
        <v/>
      </c>
      <c r="L12" s="33">
        <f>WorkingCap!L7</f>
        <v/>
      </c>
    </row>
    <row r="13">
      <c r="A13" s="27" t="inlineStr">
        <is>
          <t>TOTAL LIABILITIES</t>
        </is>
      </c>
      <c r="B13" s="8" t="inlineStr"/>
      <c r="C13" s="28">
        <f>C11+C12</f>
        <v/>
      </c>
      <c r="D13" s="28">
        <f>D11+D12</f>
        <v/>
      </c>
      <c r="E13" s="28">
        <f>E11+E12</f>
        <v/>
      </c>
      <c r="F13" s="28">
        <f>F11+F12</f>
        <v/>
      </c>
      <c r="G13" s="28">
        <f>G11+G12</f>
        <v/>
      </c>
      <c r="H13" s="28">
        <f>H11+H12</f>
        <v/>
      </c>
      <c r="I13" s="28">
        <f>I11+I12</f>
        <v/>
      </c>
      <c r="J13" s="28">
        <f>J11+J12</f>
        <v/>
      </c>
      <c r="K13" s="28">
        <f>K11+K12</f>
        <v/>
      </c>
      <c r="L13" s="28">
        <f>L11+L12</f>
        <v/>
      </c>
    </row>
    <row r="15">
      <c r="A15" s="5" t="inlineStr">
        <is>
          <t>EQUITY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7" t="inlineStr">
        <is>
          <t>Paid-in capital</t>
        </is>
      </c>
      <c r="B16" s="8" t="inlineStr"/>
      <c r="C16" s="22">
        <f>IF(1=1,Funding!C5,C16+Funding!C5)</f>
        <v/>
      </c>
      <c r="D16" s="22">
        <f>IF(2=1,Funding!D5,C16+Funding!D5)</f>
        <v/>
      </c>
      <c r="E16" s="22">
        <f>IF(3=1,Funding!E5,D16+Funding!E5)</f>
        <v/>
      </c>
      <c r="F16" s="22">
        <f>IF(4=1,Funding!F5,E16+Funding!F5)</f>
        <v/>
      </c>
      <c r="G16" s="22">
        <f>IF(5=1,Funding!G5,F16+Funding!G5)</f>
        <v/>
      </c>
      <c r="H16" s="22">
        <f>IF(6=1,Funding!H5,G16+Funding!H5)</f>
        <v/>
      </c>
      <c r="I16" s="22">
        <f>IF(7=1,Funding!I5,H16+Funding!I5)</f>
        <v/>
      </c>
      <c r="J16" s="22">
        <f>IF(8=1,Funding!J5,I16+Funding!J5)</f>
        <v/>
      </c>
      <c r="K16" s="22">
        <f>IF(9=1,Funding!K5,J16+Funding!K5)</f>
        <v/>
      </c>
      <c r="L16" s="22">
        <f>IF(10=1,Funding!L5,K16+Funding!L5)</f>
        <v/>
      </c>
    </row>
    <row r="17">
      <c r="A17" s="7" t="inlineStr">
        <is>
          <t>Retained earnings</t>
        </is>
      </c>
      <c r="B17" s="8" t="inlineStr"/>
      <c r="C17" s="22">
        <f>IF(1=1,P&amp;L!C21,C17+P&amp;L!C21)</f>
        <v/>
      </c>
      <c r="D17" s="22">
        <f>IF(2=1,P&amp;L!D21,C17+P&amp;L!D21)</f>
        <v/>
      </c>
      <c r="E17" s="22">
        <f>IF(3=1,P&amp;L!E21,D17+P&amp;L!E21)</f>
        <v/>
      </c>
      <c r="F17" s="22">
        <f>IF(4=1,P&amp;L!F21,E17+P&amp;L!F21)</f>
        <v/>
      </c>
      <c r="G17" s="22">
        <f>IF(5=1,P&amp;L!G21,F17+P&amp;L!G21)</f>
        <v/>
      </c>
      <c r="H17" s="22">
        <f>IF(6=1,P&amp;L!H21,G17+P&amp;L!H21)</f>
        <v/>
      </c>
      <c r="I17" s="22">
        <f>IF(7=1,P&amp;L!I21,H17+P&amp;L!I21)</f>
        <v/>
      </c>
      <c r="J17" s="22">
        <f>IF(8=1,P&amp;L!J21,I17+P&amp;L!J21)</f>
        <v/>
      </c>
      <c r="K17" s="22">
        <f>IF(9=1,P&amp;L!K21,J17+P&amp;L!K21)</f>
        <v/>
      </c>
      <c r="L17" s="22">
        <f>IF(10=1,P&amp;L!L21,K17+P&amp;L!L21)</f>
        <v/>
      </c>
    </row>
    <row r="18">
      <c r="A18" s="27" t="inlineStr">
        <is>
          <t>TOTAL EQUITY</t>
        </is>
      </c>
      <c r="B18" s="8" t="inlineStr"/>
      <c r="C18" s="28">
        <f>C16+C17</f>
        <v/>
      </c>
      <c r="D18" s="28">
        <f>D16+D17</f>
        <v/>
      </c>
      <c r="E18" s="28">
        <f>E16+E17</f>
        <v/>
      </c>
      <c r="F18" s="28">
        <f>F16+F17</f>
        <v/>
      </c>
      <c r="G18" s="28">
        <f>G16+G17</f>
        <v/>
      </c>
      <c r="H18" s="28">
        <f>H16+H17</f>
        <v/>
      </c>
      <c r="I18" s="28">
        <f>I16+I17</f>
        <v/>
      </c>
      <c r="J18" s="28">
        <f>J16+J17</f>
        <v/>
      </c>
      <c r="K18" s="28">
        <f>K16+K17</f>
        <v/>
      </c>
      <c r="L18" s="28">
        <f>L16+L17</f>
        <v/>
      </c>
    </row>
    <row r="19">
      <c r="A19" s="2" t="inlineStr">
        <is>
          <t>Liabilities + equity</t>
        </is>
      </c>
      <c r="B19" s="8" t="inlineStr"/>
      <c r="C19" s="23">
        <f>C13+C18</f>
        <v/>
      </c>
      <c r="D19" s="23">
        <f>D13+D18</f>
        <v/>
      </c>
      <c r="E19" s="23">
        <f>E13+E18</f>
        <v/>
      </c>
      <c r="F19" s="23">
        <f>F13+F18</f>
        <v/>
      </c>
      <c r="G19" s="23">
        <f>G13+G18</f>
        <v/>
      </c>
      <c r="H19" s="23">
        <f>H13+H18</f>
        <v/>
      </c>
      <c r="I19" s="23">
        <f>I13+I18</f>
        <v/>
      </c>
      <c r="J19" s="23">
        <f>J13+J18</f>
        <v/>
      </c>
      <c r="K19" s="23">
        <f>K13+K18</f>
        <v/>
      </c>
      <c r="L19" s="23">
        <f>L13+L18</f>
        <v/>
      </c>
    </row>
    <row r="20">
      <c r="A20" s="27" t="inlineStr">
        <is>
          <t>BALANCE CHECK</t>
        </is>
      </c>
      <c r="B20" s="8" t="inlineStr">
        <is>
          <t>must be zero</t>
        </is>
      </c>
      <c r="C20" s="35">
        <f>ROUND(C8-C19,2)</f>
        <v/>
      </c>
      <c r="D20" s="35">
        <f>ROUND(D8-D19,2)</f>
        <v/>
      </c>
      <c r="E20" s="35">
        <f>ROUND(E8-E19,2)</f>
        <v/>
      </c>
      <c r="F20" s="35">
        <f>ROUND(F8-F19,2)</f>
        <v/>
      </c>
      <c r="G20" s="35">
        <f>ROUND(G8-G19,2)</f>
        <v/>
      </c>
      <c r="H20" s="35">
        <f>ROUND(H8-H19,2)</f>
        <v/>
      </c>
      <c r="I20" s="35">
        <f>ROUND(I8-I19,2)</f>
        <v/>
      </c>
      <c r="J20" s="35">
        <f>ROUND(J8-J19,2)</f>
        <v/>
      </c>
      <c r="K20" s="35">
        <f>ROUND(K8-K19,2)</f>
        <v/>
      </c>
      <c r="L20" s="35">
        <f>ROUND(L8-L19,2)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Funding rounds and dilution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7" t="inlineStr">
        <is>
          <t>Equity raised</t>
        </is>
      </c>
      <c r="B4" s="8" t="inlineStr">
        <is>
          <t>EUR</t>
        </is>
      </c>
      <c r="C4" s="13" t="n">
        <v>400000</v>
      </c>
      <c r="D4" s="13" t="n">
        <v>0</v>
      </c>
      <c r="E4" s="13" t="n">
        <v>2000000</v>
      </c>
      <c r="F4" s="13" t="n">
        <v>0</v>
      </c>
      <c r="G4" s="13" t="n">
        <v>8000000</v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</row>
    <row r="5">
      <c r="A5" s="7" t="inlineStr">
        <is>
          <t>Pre-money valuation</t>
        </is>
      </c>
      <c r="B5" s="8" t="inlineStr">
        <is>
          <t>EUR</t>
        </is>
      </c>
      <c r="C5" s="13" t="n">
        <v>2500000</v>
      </c>
      <c r="D5" s="13" t="n">
        <v>0</v>
      </c>
      <c r="E5" s="13" t="n">
        <v>10000000</v>
      </c>
      <c r="F5" s="13" t="n">
        <v>0</v>
      </c>
      <c r="G5" s="13" t="n">
        <v>40000000</v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</row>
    <row r="6">
      <c r="A6" s="7" t="inlineStr">
        <is>
          <t>Post-money valuation</t>
        </is>
      </c>
      <c r="B6" s="8" t="inlineStr">
        <is>
          <t>EUR</t>
        </is>
      </c>
      <c r="C6" s="22">
        <f>IF(C5=0,0,C6+C5)</f>
        <v/>
      </c>
      <c r="D6" s="22">
        <f>IF(D5=0,0,D6+D5)</f>
        <v/>
      </c>
      <c r="E6" s="22">
        <f>IF(E5=0,0,E6+E5)</f>
        <v/>
      </c>
      <c r="F6" s="22">
        <f>IF(F5=0,0,F6+F5)</f>
        <v/>
      </c>
      <c r="G6" s="22">
        <f>IF(G5=0,0,G6+G5)</f>
        <v/>
      </c>
      <c r="H6" s="22">
        <f>IF(H5=0,0,H6+H5)</f>
        <v/>
      </c>
      <c r="I6" s="22">
        <f>IF(I5=0,0,I6+I5)</f>
        <v/>
      </c>
      <c r="J6" s="22">
        <f>IF(J5=0,0,J6+J5)</f>
        <v/>
      </c>
      <c r="K6" s="22">
        <f>IF(K5=0,0,K6+K5)</f>
        <v/>
      </c>
      <c r="L6" s="22">
        <f>IF(L5=0,0,L6+L5)</f>
        <v/>
      </c>
    </row>
    <row r="7">
      <c r="A7" s="7" t="inlineStr">
        <is>
          <t>New investor stake</t>
        </is>
      </c>
      <c r="B7" s="8" t="inlineStr">
        <is>
          <t>%</t>
        </is>
      </c>
      <c r="C7" s="31">
        <f>IF(C7=0,0,C5/C7)</f>
        <v/>
      </c>
      <c r="D7" s="31">
        <f>IF(D7=0,0,D5/D7)</f>
        <v/>
      </c>
      <c r="E7" s="31">
        <f>IF(E7=0,0,E5/E7)</f>
        <v/>
      </c>
      <c r="F7" s="31">
        <f>IF(F7=0,0,F5/F7)</f>
        <v/>
      </c>
      <c r="G7" s="31">
        <f>IF(G7=0,0,G5/G7)</f>
        <v/>
      </c>
      <c r="H7" s="31">
        <f>IF(H7=0,0,H5/H7)</f>
        <v/>
      </c>
      <c r="I7" s="31">
        <f>IF(I7=0,0,I5/I7)</f>
        <v/>
      </c>
      <c r="J7" s="31">
        <f>IF(J7=0,0,J5/J7)</f>
        <v/>
      </c>
      <c r="K7" s="31">
        <f>IF(K7=0,0,K5/K7)</f>
        <v/>
      </c>
      <c r="L7" s="31">
        <f>IF(L7=0,0,L5/L7)</f>
        <v/>
      </c>
    </row>
    <row r="8">
      <c r="A8" s="7" t="inlineStr">
        <is>
          <t>Cumulative dilution</t>
        </is>
      </c>
      <c r="B8" s="8" t="inlineStr">
        <is>
          <t>%</t>
        </is>
      </c>
      <c r="C8" s="31">
        <f>IF(1=1,C8,1-(1-C9)*(1-C8))</f>
        <v/>
      </c>
      <c r="D8" s="31">
        <f>IF(2=1,D8,1-(1-C9)*(1-D8))</f>
        <v/>
      </c>
      <c r="E8" s="31">
        <f>IF(3=1,E8,1-(1-D9)*(1-E8))</f>
        <v/>
      </c>
      <c r="F8" s="31">
        <f>IF(4=1,F8,1-(1-E9)*(1-F8))</f>
        <v/>
      </c>
      <c r="G8" s="31">
        <f>IF(5=1,G8,1-(1-F9)*(1-G8))</f>
        <v/>
      </c>
      <c r="H8" s="31">
        <f>IF(6=1,H8,1-(1-G9)*(1-H8))</f>
        <v/>
      </c>
      <c r="I8" s="31">
        <f>IF(7=1,I8,1-(1-H9)*(1-I8))</f>
        <v/>
      </c>
      <c r="J8" s="31">
        <f>IF(8=1,J8,1-(1-I9)*(1-J8))</f>
        <v/>
      </c>
      <c r="K8" s="31">
        <f>IF(9=1,K8,1-(1-J9)*(1-K8))</f>
        <v/>
      </c>
      <c r="L8" s="31">
        <f>IF(10=1,L8,1-(1-K9)*(1-L8))</f>
        <v/>
      </c>
    </row>
    <row r="9">
      <c r="A9" s="2" t="inlineStr">
        <is>
          <t>Founders + team retained</t>
        </is>
      </c>
      <c r="B9" s="8" t="inlineStr">
        <is>
          <t>%</t>
        </is>
      </c>
      <c r="C9" s="36">
        <f>1-C9</f>
        <v/>
      </c>
      <c r="D9" s="36">
        <f>1-D9</f>
        <v/>
      </c>
      <c r="E9" s="36">
        <f>1-E9</f>
        <v/>
      </c>
      <c r="F9" s="36">
        <f>1-F9</f>
        <v/>
      </c>
      <c r="G9" s="36">
        <f>1-G9</f>
        <v/>
      </c>
      <c r="H9" s="36">
        <f>1-H9</f>
        <v/>
      </c>
      <c r="I9" s="36">
        <f>1-I9</f>
        <v/>
      </c>
      <c r="J9" s="36">
        <f>1-J9</f>
        <v/>
      </c>
      <c r="K9" s="36">
        <f>1-K9</f>
        <v/>
      </c>
      <c r="L9" s="36">
        <f>1-L9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Valuation — DCF, NPV, IRR and exit multiples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7" t="inlineStr">
        <is>
          <t>Free cash flow</t>
        </is>
      </c>
      <c r="B4" s="8" t="inlineStr">
        <is>
          <t>EUR</t>
        </is>
      </c>
      <c r="C4" s="33">
        <f>CashFlow!C9</f>
        <v/>
      </c>
      <c r="D4" s="33">
        <f>CashFlow!D9</f>
        <v/>
      </c>
      <c r="E4" s="33">
        <f>CashFlow!E9</f>
        <v/>
      </c>
      <c r="F4" s="33">
        <f>CashFlow!F9</f>
        <v/>
      </c>
      <c r="G4" s="33">
        <f>CashFlow!G9</f>
        <v/>
      </c>
      <c r="H4" s="33">
        <f>CashFlow!H9</f>
        <v/>
      </c>
      <c r="I4" s="33">
        <f>CashFlow!I9</f>
        <v/>
      </c>
      <c r="J4" s="33">
        <f>CashFlow!J9</f>
        <v/>
      </c>
      <c r="K4" s="33">
        <f>CashFlow!K9</f>
        <v/>
      </c>
      <c r="L4" s="33">
        <f>CashFlow!L9</f>
        <v/>
      </c>
    </row>
    <row r="5">
      <c r="A5" s="7" t="inlineStr">
        <is>
          <t>Discount factor</t>
        </is>
      </c>
      <c r="B5" s="8" t="inlineStr">
        <is>
          <t>1/(1+WACC)^t</t>
        </is>
      </c>
      <c r="C5" s="21">
        <f>1/(1+Assumptions!$C$72)^1</f>
        <v/>
      </c>
      <c r="D5" s="21">
        <f>1/(1+Assumptions!$C$72)^2</f>
        <v/>
      </c>
      <c r="E5" s="21">
        <f>1/(1+Assumptions!$C$72)^3</f>
        <v/>
      </c>
      <c r="F5" s="21">
        <f>1/(1+Assumptions!$C$72)^4</f>
        <v/>
      </c>
      <c r="G5" s="21">
        <f>1/(1+Assumptions!$C$72)^5</f>
        <v/>
      </c>
      <c r="H5" s="21">
        <f>1/(1+Assumptions!$C$72)^6</f>
        <v/>
      </c>
      <c r="I5" s="21">
        <f>1/(1+Assumptions!$C$72)^7</f>
        <v/>
      </c>
      <c r="J5" s="21">
        <f>1/(1+Assumptions!$C$72)^8</f>
        <v/>
      </c>
      <c r="K5" s="21">
        <f>1/(1+Assumptions!$C$72)^9</f>
        <v/>
      </c>
      <c r="L5" s="21">
        <f>1/(1+Assumptions!$C$72)^10</f>
        <v/>
      </c>
    </row>
    <row r="6">
      <c r="A6" s="2" t="inlineStr">
        <is>
          <t>Discounted FCF</t>
        </is>
      </c>
      <c r="B6" s="8" t="inlineStr">
        <is>
          <t>EUR</t>
        </is>
      </c>
      <c r="C6" s="23">
        <f>C4*C5</f>
        <v/>
      </c>
      <c r="D6" s="23">
        <f>D4*D5</f>
        <v/>
      </c>
      <c r="E6" s="23">
        <f>E4*E5</f>
        <v/>
      </c>
      <c r="F6" s="23">
        <f>F4*F5</f>
        <v/>
      </c>
      <c r="G6" s="23">
        <f>G4*G5</f>
        <v/>
      </c>
      <c r="H6" s="23">
        <f>H4*H5</f>
        <v/>
      </c>
      <c r="I6" s="23">
        <f>I4*I5</f>
        <v/>
      </c>
      <c r="J6" s="23">
        <f>J4*J5</f>
        <v/>
      </c>
      <c r="K6" s="23">
        <f>K4*K5</f>
        <v/>
      </c>
      <c r="L6" s="23">
        <f>L4*L5</f>
        <v/>
      </c>
    </row>
    <row r="8">
      <c r="A8" s="5" t="inlineStr">
        <is>
          <t>DCF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7" t="inlineStr">
        <is>
          <t>PV of explicit forecast</t>
        </is>
      </c>
      <c r="C9" s="37">
        <f>SUM(C6:L6)</f>
        <v/>
      </c>
    </row>
    <row r="10">
      <c r="A10" s="7" t="inlineStr">
        <is>
          <t>Terminal value at Y10</t>
        </is>
      </c>
      <c r="C10" s="37">
        <f>C4*0+L4*(1+Assumptions!$C$73)/(Assumptions!$C$72-Assumptions!$C$73)</f>
        <v/>
      </c>
    </row>
    <row r="11">
      <c r="A11" s="7" t="inlineStr">
        <is>
          <t>PV of terminal value</t>
        </is>
      </c>
      <c r="C11" s="37">
        <f>C10*L5</f>
        <v/>
      </c>
    </row>
    <row r="12">
      <c r="A12" s="2" t="inlineStr">
        <is>
          <t>ENTERPRISE VALUE (DCF)</t>
        </is>
      </c>
      <c r="C12" s="37">
        <f>C9+C11</f>
        <v/>
      </c>
    </row>
    <row r="14">
      <c r="A14" s="5" t="inlineStr">
        <is>
          <t>RETURN METRICS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7" t="inlineStr">
        <is>
          <t>NPV of FCF at WACC</t>
        </is>
      </c>
      <c r="C15" s="37">
        <f>NPV(Assumptions!$C$72,C4:L4)</f>
        <v/>
      </c>
    </row>
    <row r="16">
      <c r="A16" s="7" t="inlineStr">
        <is>
          <t>IRR of the plan</t>
        </is>
      </c>
      <c r="C16" s="38">
        <f>IRR(C4:L4)</f>
        <v/>
      </c>
    </row>
    <row r="17">
      <c r="A17" s="7" t="inlineStr">
        <is>
          <t>IRR incl. terminal value</t>
        </is>
      </c>
      <c r="C17" s="38">
        <f>IRR(C4:K4,0.3)</f>
        <v/>
      </c>
    </row>
    <row r="19">
      <c r="A19" s="5" t="inlineStr">
        <is>
          <t>EXIT MULTIPLE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7" t="inlineStr">
        <is>
          <t>Y10 net revenue</t>
        </is>
      </c>
      <c r="C20" s="37">
        <f>Revenue!L21</f>
        <v/>
      </c>
    </row>
    <row r="21">
      <c r="A21" s="7" t="inlineStr">
        <is>
          <t>Exit value at Y10</t>
        </is>
      </c>
      <c r="C21" s="37">
        <f>C21*Assumptions!$C$74</f>
        <v/>
      </c>
    </row>
    <row r="22">
      <c r="A22" s="7" t="inlineStr">
        <is>
          <t>Discounted to today</t>
        </is>
      </c>
      <c r="C22" s="37">
        <f>C22*L5</f>
        <v/>
      </c>
    </row>
    <row r="24">
      <c r="A24" s="5" t="inlineStr">
        <is>
          <t>SENSITIVITY — enterprise value by WACC and terminal growth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2" t="inlineStr">
        <is>
          <t>Terminal growth \ WACC</t>
        </is>
      </c>
      <c r="C25" s="39" t="n">
        <v>0.18</v>
      </c>
      <c r="D25" s="39" t="n">
        <v>0.2</v>
      </c>
      <c r="E25" s="39" t="n">
        <v>0.22</v>
      </c>
      <c r="F25" s="39" t="n">
        <v>0.25</v>
      </c>
      <c r="G25" s="39" t="n">
        <v>0.28</v>
      </c>
      <c r="H25" s="39" t="n">
        <v>0.3</v>
      </c>
    </row>
    <row r="26">
      <c r="A26" s="38" t="n">
        <v>0.01</v>
      </c>
      <c r="C26" s="40">
        <f>CashFlow!C9/(1+0.18)^1+CashFlow!D9/(1+0.18)^2+CashFlow!E9/(1+0.18)^3+CashFlow!F9/(1+0.18)^4+CashFlow!G9/(1+0.18)^5+CashFlow!H9/(1+0.18)^6+CashFlow!I9/(1+0.18)^7+CashFlow!J9/(1+0.18)^8+CashFlow!K9/(1+0.18)^9+CashFlow!L9/(1+0.18)^10+CashFlow!L9*(1+0.01)/(0.18-0.01)/(1+0.18)^10</f>
        <v/>
      </c>
      <c r="D26" s="40">
        <f>CashFlow!C9/(1+0.2)^1+CashFlow!D9/(1+0.2)^2+CashFlow!E9/(1+0.2)^3+CashFlow!F9/(1+0.2)^4+CashFlow!G9/(1+0.2)^5+CashFlow!H9/(1+0.2)^6+CashFlow!I9/(1+0.2)^7+CashFlow!J9/(1+0.2)^8+CashFlow!K9/(1+0.2)^9+CashFlow!L9/(1+0.2)^10+CashFlow!L9*(1+0.01)/(0.2-0.01)/(1+0.2)^10</f>
        <v/>
      </c>
      <c r="E26" s="40">
        <f>CashFlow!C9/(1+0.22)^1+CashFlow!D9/(1+0.22)^2+CashFlow!E9/(1+0.22)^3+CashFlow!F9/(1+0.22)^4+CashFlow!G9/(1+0.22)^5+CashFlow!H9/(1+0.22)^6+CashFlow!I9/(1+0.22)^7+CashFlow!J9/(1+0.22)^8+CashFlow!K9/(1+0.22)^9+CashFlow!L9/(1+0.22)^10+CashFlow!L9*(1+0.01)/(0.22-0.01)/(1+0.22)^10</f>
        <v/>
      </c>
      <c r="F26" s="40">
        <f>CashFlow!C9/(1+0.25)^1+CashFlow!D9/(1+0.25)^2+CashFlow!E9/(1+0.25)^3+CashFlow!F9/(1+0.25)^4+CashFlow!G9/(1+0.25)^5+CashFlow!H9/(1+0.25)^6+CashFlow!I9/(1+0.25)^7+CashFlow!J9/(1+0.25)^8+CashFlow!K9/(1+0.25)^9+CashFlow!L9/(1+0.25)^10+CashFlow!L9*(1+0.01)/(0.25-0.01)/(1+0.25)^10</f>
        <v/>
      </c>
      <c r="G26" s="40">
        <f>CashFlow!C9/(1+0.28)^1+CashFlow!D9/(1+0.28)^2+CashFlow!E9/(1+0.28)^3+CashFlow!F9/(1+0.28)^4+CashFlow!G9/(1+0.28)^5+CashFlow!H9/(1+0.28)^6+CashFlow!I9/(1+0.28)^7+CashFlow!J9/(1+0.28)^8+CashFlow!K9/(1+0.28)^9+CashFlow!L9/(1+0.28)^10+CashFlow!L9*(1+0.01)/(0.28-0.01)/(1+0.28)^10</f>
        <v/>
      </c>
      <c r="H26" s="40">
        <f>CashFlow!C9/(1+0.3)^1+CashFlow!D9/(1+0.3)^2+CashFlow!E9/(1+0.3)^3+CashFlow!F9/(1+0.3)^4+CashFlow!G9/(1+0.3)^5+CashFlow!H9/(1+0.3)^6+CashFlow!I9/(1+0.3)^7+CashFlow!J9/(1+0.3)^8+CashFlow!K9/(1+0.3)^9+CashFlow!L9/(1+0.3)^10+CashFlow!L9*(1+0.01)/(0.3-0.01)/(1+0.3)^10</f>
        <v/>
      </c>
    </row>
    <row r="27">
      <c r="A27" s="38" t="n">
        <v>0.02</v>
      </c>
      <c r="C27" s="40">
        <f>CashFlow!C9/(1+0.18)^1+CashFlow!D9/(1+0.18)^2+CashFlow!E9/(1+0.18)^3+CashFlow!F9/(1+0.18)^4+CashFlow!G9/(1+0.18)^5+CashFlow!H9/(1+0.18)^6+CashFlow!I9/(1+0.18)^7+CashFlow!J9/(1+0.18)^8+CashFlow!K9/(1+0.18)^9+CashFlow!L9/(1+0.18)^10+CashFlow!L9*(1+0.02)/(0.18-0.02)/(1+0.18)^10</f>
        <v/>
      </c>
      <c r="D27" s="40">
        <f>CashFlow!C9/(1+0.2)^1+CashFlow!D9/(1+0.2)^2+CashFlow!E9/(1+0.2)^3+CashFlow!F9/(1+0.2)^4+CashFlow!G9/(1+0.2)^5+CashFlow!H9/(1+0.2)^6+CashFlow!I9/(1+0.2)^7+CashFlow!J9/(1+0.2)^8+CashFlow!K9/(1+0.2)^9+CashFlow!L9/(1+0.2)^10+CashFlow!L9*(1+0.02)/(0.2-0.02)/(1+0.2)^10</f>
        <v/>
      </c>
      <c r="E27" s="40">
        <f>CashFlow!C9/(1+0.22)^1+CashFlow!D9/(1+0.22)^2+CashFlow!E9/(1+0.22)^3+CashFlow!F9/(1+0.22)^4+CashFlow!G9/(1+0.22)^5+CashFlow!H9/(1+0.22)^6+CashFlow!I9/(1+0.22)^7+CashFlow!J9/(1+0.22)^8+CashFlow!K9/(1+0.22)^9+CashFlow!L9/(1+0.22)^10+CashFlow!L9*(1+0.02)/(0.22-0.02)/(1+0.22)^10</f>
        <v/>
      </c>
      <c r="F27" s="40">
        <f>CashFlow!C9/(1+0.25)^1+CashFlow!D9/(1+0.25)^2+CashFlow!E9/(1+0.25)^3+CashFlow!F9/(1+0.25)^4+CashFlow!G9/(1+0.25)^5+CashFlow!H9/(1+0.25)^6+CashFlow!I9/(1+0.25)^7+CashFlow!J9/(1+0.25)^8+CashFlow!K9/(1+0.25)^9+CashFlow!L9/(1+0.25)^10+CashFlow!L9*(1+0.02)/(0.25-0.02)/(1+0.25)^10</f>
        <v/>
      </c>
      <c r="G27" s="40">
        <f>CashFlow!C9/(1+0.28)^1+CashFlow!D9/(1+0.28)^2+CashFlow!E9/(1+0.28)^3+CashFlow!F9/(1+0.28)^4+CashFlow!G9/(1+0.28)^5+CashFlow!H9/(1+0.28)^6+CashFlow!I9/(1+0.28)^7+CashFlow!J9/(1+0.28)^8+CashFlow!K9/(1+0.28)^9+CashFlow!L9/(1+0.28)^10+CashFlow!L9*(1+0.02)/(0.28-0.02)/(1+0.28)^10</f>
        <v/>
      </c>
      <c r="H27" s="40">
        <f>CashFlow!C9/(1+0.3)^1+CashFlow!D9/(1+0.3)^2+CashFlow!E9/(1+0.3)^3+CashFlow!F9/(1+0.3)^4+CashFlow!G9/(1+0.3)^5+CashFlow!H9/(1+0.3)^6+CashFlow!I9/(1+0.3)^7+CashFlow!J9/(1+0.3)^8+CashFlow!K9/(1+0.3)^9+CashFlow!L9/(1+0.3)^10+CashFlow!L9*(1+0.02)/(0.3-0.02)/(1+0.3)^10</f>
        <v/>
      </c>
    </row>
    <row r="28">
      <c r="A28" s="38" t="n">
        <v>0.03</v>
      </c>
      <c r="C28" s="40">
        <f>CashFlow!C9/(1+0.18)^1+CashFlow!D9/(1+0.18)^2+CashFlow!E9/(1+0.18)^3+CashFlow!F9/(1+0.18)^4+CashFlow!G9/(1+0.18)^5+CashFlow!H9/(1+0.18)^6+CashFlow!I9/(1+0.18)^7+CashFlow!J9/(1+0.18)^8+CashFlow!K9/(1+0.18)^9+CashFlow!L9/(1+0.18)^10+CashFlow!L9*(1+0.03)/(0.18-0.03)/(1+0.18)^10</f>
        <v/>
      </c>
      <c r="D28" s="40">
        <f>CashFlow!C9/(1+0.2)^1+CashFlow!D9/(1+0.2)^2+CashFlow!E9/(1+0.2)^3+CashFlow!F9/(1+0.2)^4+CashFlow!G9/(1+0.2)^5+CashFlow!H9/(1+0.2)^6+CashFlow!I9/(1+0.2)^7+CashFlow!J9/(1+0.2)^8+CashFlow!K9/(1+0.2)^9+CashFlow!L9/(1+0.2)^10+CashFlow!L9*(1+0.03)/(0.2-0.03)/(1+0.2)^10</f>
        <v/>
      </c>
      <c r="E28" s="40">
        <f>CashFlow!C9/(1+0.22)^1+CashFlow!D9/(1+0.22)^2+CashFlow!E9/(1+0.22)^3+CashFlow!F9/(1+0.22)^4+CashFlow!G9/(1+0.22)^5+CashFlow!H9/(1+0.22)^6+CashFlow!I9/(1+0.22)^7+CashFlow!J9/(1+0.22)^8+CashFlow!K9/(1+0.22)^9+CashFlow!L9/(1+0.22)^10+CashFlow!L9*(1+0.03)/(0.22-0.03)/(1+0.22)^10</f>
        <v/>
      </c>
      <c r="F28" s="40">
        <f>CashFlow!C9/(1+0.25)^1+CashFlow!D9/(1+0.25)^2+CashFlow!E9/(1+0.25)^3+CashFlow!F9/(1+0.25)^4+CashFlow!G9/(1+0.25)^5+CashFlow!H9/(1+0.25)^6+CashFlow!I9/(1+0.25)^7+CashFlow!J9/(1+0.25)^8+CashFlow!K9/(1+0.25)^9+CashFlow!L9/(1+0.25)^10+CashFlow!L9*(1+0.03)/(0.25-0.03)/(1+0.25)^10</f>
        <v/>
      </c>
      <c r="G28" s="40">
        <f>CashFlow!C9/(1+0.28)^1+CashFlow!D9/(1+0.28)^2+CashFlow!E9/(1+0.28)^3+CashFlow!F9/(1+0.28)^4+CashFlow!G9/(1+0.28)^5+CashFlow!H9/(1+0.28)^6+CashFlow!I9/(1+0.28)^7+CashFlow!J9/(1+0.28)^8+CashFlow!K9/(1+0.28)^9+CashFlow!L9/(1+0.28)^10+CashFlow!L9*(1+0.03)/(0.28-0.03)/(1+0.28)^10</f>
        <v/>
      </c>
      <c r="H28" s="40">
        <f>CashFlow!C9/(1+0.3)^1+CashFlow!D9/(1+0.3)^2+CashFlow!E9/(1+0.3)^3+CashFlow!F9/(1+0.3)^4+CashFlow!G9/(1+0.3)^5+CashFlow!H9/(1+0.3)^6+CashFlow!I9/(1+0.3)^7+CashFlow!J9/(1+0.3)^8+CashFlow!K9/(1+0.3)^9+CashFlow!L9/(1+0.3)^10+CashFlow!L9*(1+0.03)/(0.3-0.03)/(1+0.3)^10</f>
        <v/>
      </c>
    </row>
    <row r="29">
      <c r="A29" s="38" t="n">
        <v>0.04</v>
      </c>
      <c r="C29" s="40">
        <f>CashFlow!C9/(1+0.18)^1+CashFlow!D9/(1+0.18)^2+CashFlow!E9/(1+0.18)^3+CashFlow!F9/(1+0.18)^4+CashFlow!G9/(1+0.18)^5+CashFlow!H9/(1+0.18)^6+CashFlow!I9/(1+0.18)^7+CashFlow!J9/(1+0.18)^8+CashFlow!K9/(1+0.18)^9+CashFlow!L9/(1+0.18)^10+CashFlow!L9*(1+0.04)/(0.18-0.04)/(1+0.18)^10</f>
        <v/>
      </c>
      <c r="D29" s="40">
        <f>CashFlow!C9/(1+0.2)^1+CashFlow!D9/(1+0.2)^2+CashFlow!E9/(1+0.2)^3+CashFlow!F9/(1+0.2)^4+CashFlow!G9/(1+0.2)^5+CashFlow!H9/(1+0.2)^6+CashFlow!I9/(1+0.2)^7+CashFlow!J9/(1+0.2)^8+CashFlow!K9/(1+0.2)^9+CashFlow!L9/(1+0.2)^10+CashFlow!L9*(1+0.04)/(0.2-0.04)/(1+0.2)^10</f>
        <v/>
      </c>
      <c r="E29" s="40">
        <f>CashFlow!C9/(1+0.22)^1+CashFlow!D9/(1+0.22)^2+CashFlow!E9/(1+0.22)^3+CashFlow!F9/(1+0.22)^4+CashFlow!G9/(1+0.22)^5+CashFlow!H9/(1+0.22)^6+CashFlow!I9/(1+0.22)^7+CashFlow!J9/(1+0.22)^8+CashFlow!K9/(1+0.22)^9+CashFlow!L9/(1+0.22)^10+CashFlow!L9*(1+0.04)/(0.22-0.04)/(1+0.22)^10</f>
        <v/>
      </c>
      <c r="F29" s="40">
        <f>CashFlow!C9/(1+0.25)^1+CashFlow!D9/(1+0.25)^2+CashFlow!E9/(1+0.25)^3+CashFlow!F9/(1+0.25)^4+CashFlow!G9/(1+0.25)^5+CashFlow!H9/(1+0.25)^6+CashFlow!I9/(1+0.25)^7+CashFlow!J9/(1+0.25)^8+CashFlow!K9/(1+0.25)^9+CashFlow!L9/(1+0.25)^10+CashFlow!L9*(1+0.04)/(0.25-0.04)/(1+0.25)^10</f>
        <v/>
      </c>
      <c r="G29" s="40">
        <f>CashFlow!C9/(1+0.28)^1+CashFlow!D9/(1+0.28)^2+CashFlow!E9/(1+0.28)^3+CashFlow!F9/(1+0.28)^4+CashFlow!G9/(1+0.28)^5+CashFlow!H9/(1+0.28)^6+CashFlow!I9/(1+0.28)^7+CashFlow!J9/(1+0.28)^8+CashFlow!K9/(1+0.28)^9+CashFlow!L9/(1+0.28)^10+CashFlow!L9*(1+0.04)/(0.28-0.04)/(1+0.28)^10</f>
        <v/>
      </c>
      <c r="H29" s="40">
        <f>CashFlow!C9/(1+0.3)^1+CashFlow!D9/(1+0.3)^2+CashFlow!E9/(1+0.3)^3+CashFlow!F9/(1+0.3)^4+CashFlow!G9/(1+0.3)^5+CashFlow!H9/(1+0.3)^6+CashFlow!I9/(1+0.3)^7+CashFlow!J9/(1+0.3)^8+CashFlow!K9/(1+0.3)^9+CashFlow!L9/(1+0.3)^10+CashFlow!L9*(1+0.04)/(0.3-0.04)/(1+0.3)^10</f>
        <v/>
      </c>
    </row>
    <row r="30">
      <c r="A30" s="38" t="n">
        <v>0.05</v>
      </c>
      <c r="C30" s="40">
        <f>CashFlow!C9/(1+0.18)^1+CashFlow!D9/(1+0.18)^2+CashFlow!E9/(1+0.18)^3+CashFlow!F9/(1+0.18)^4+CashFlow!G9/(1+0.18)^5+CashFlow!H9/(1+0.18)^6+CashFlow!I9/(1+0.18)^7+CashFlow!J9/(1+0.18)^8+CashFlow!K9/(1+0.18)^9+CashFlow!L9/(1+0.18)^10+CashFlow!L9*(1+0.05)/(0.18-0.05)/(1+0.18)^10</f>
        <v/>
      </c>
      <c r="D30" s="40">
        <f>CashFlow!C9/(1+0.2)^1+CashFlow!D9/(1+0.2)^2+CashFlow!E9/(1+0.2)^3+CashFlow!F9/(1+0.2)^4+CashFlow!G9/(1+0.2)^5+CashFlow!H9/(1+0.2)^6+CashFlow!I9/(1+0.2)^7+CashFlow!J9/(1+0.2)^8+CashFlow!K9/(1+0.2)^9+CashFlow!L9/(1+0.2)^10+CashFlow!L9*(1+0.05)/(0.2-0.05)/(1+0.2)^10</f>
        <v/>
      </c>
      <c r="E30" s="40">
        <f>CashFlow!C9/(1+0.22)^1+CashFlow!D9/(1+0.22)^2+CashFlow!E9/(1+0.22)^3+CashFlow!F9/(1+0.22)^4+CashFlow!G9/(1+0.22)^5+CashFlow!H9/(1+0.22)^6+CashFlow!I9/(1+0.22)^7+CashFlow!J9/(1+0.22)^8+CashFlow!K9/(1+0.22)^9+CashFlow!L9/(1+0.22)^10+CashFlow!L9*(1+0.05)/(0.22-0.05)/(1+0.22)^10</f>
        <v/>
      </c>
      <c r="F30" s="40">
        <f>CashFlow!C9/(1+0.25)^1+CashFlow!D9/(1+0.25)^2+CashFlow!E9/(1+0.25)^3+CashFlow!F9/(1+0.25)^4+CashFlow!G9/(1+0.25)^5+CashFlow!H9/(1+0.25)^6+CashFlow!I9/(1+0.25)^7+CashFlow!J9/(1+0.25)^8+CashFlow!K9/(1+0.25)^9+CashFlow!L9/(1+0.25)^10+CashFlow!L9*(1+0.05)/(0.25-0.05)/(1+0.25)^10</f>
        <v/>
      </c>
      <c r="G30" s="40">
        <f>CashFlow!C9/(1+0.28)^1+CashFlow!D9/(1+0.28)^2+CashFlow!E9/(1+0.28)^3+CashFlow!F9/(1+0.28)^4+CashFlow!G9/(1+0.28)^5+CashFlow!H9/(1+0.28)^6+CashFlow!I9/(1+0.28)^7+CashFlow!J9/(1+0.28)^8+CashFlow!K9/(1+0.28)^9+CashFlow!L9/(1+0.28)^10+CashFlow!L9*(1+0.05)/(0.28-0.05)/(1+0.28)^10</f>
        <v/>
      </c>
      <c r="H30" s="40">
        <f>CashFlow!C9/(1+0.3)^1+CashFlow!D9/(1+0.3)^2+CashFlow!E9/(1+0.3)^3+CashFlow!F9/(1+0.3)^4+CashFlow!G9/(1+0.3)^5+CashFlow!H9/(1+0.3)^6+CashFlow!I9/(1+0.3)^7+CashFlow!J9/(1+0.3)^8+CashFlow!K9/(1+0.3)^9+CashFlow!L9/(1+0.3)^10+CashFlow!L9*(1+0.05)/(0.3-0.05)/(1+0.3)^10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Check — the Python model's figures for comparison</t>
        </is>
      </c>
    </row>
    <row r="2">
      <c r="A2" s="41" t="inlineStr">
        <is>
          <t>If the workbook's formulas are right, these match the sheets. Generated by business-plan/model.py.</t>
        </is>
      </c>
    </row>
    <row r="3">
      <c r="A3" s="3" t="inlineStr">
        <is>
          <t>Line</t>
        </is>
      </c>
      <c r="B3" s="3" t="inlineStr">
        <is>
          <t>Unit</t>
        </is>
      </c>
      <c r="C3" s="4" t="inlineStr">
        <is>
          <t>Y1</t>
        </is>
      </c>
      <c r="D3" s="4" t="inlineStr">
        <is>
          <t>Y2</t>
        </is>
      </c>
      <c r="E3" s="4" t="inlineStr">
        <is>
          <t>Y3</t>
        </is>
      </c>
      <c r="F3" s="4" t="inlineStr">
        <is>
          <t>Y4</t>
        </is>
      </c>
      <c r="G3" s="4" t="inlineStr">
        <is>
          <t>Y5</t>
        </is>
      </c>
      <c r="H3" s="4" t="inlineStr">
        <is>
          <t>Y6</t>
        </is>
      </c>
      <c r="I3" s="4" t="inlineStr">
        <is>
          <t>Y7</t>
        </is>
      </c>
      <c r="J3" s="4" t="inlineStr">
        <is>
          <t>Y8</t>
        </is>
      </c>
      <c r="K3" s="4" t="inlineStr">
        <is>
          <t>Y9</t>
        </is>
      </c>
      <c r="L3" s="4" t="inlineStr">
        <is>
          <t>Y10</t>
        </is>
      </c>
    </row>
    <row r="4">
      <c r="A4" s="7" t="inlineStr">
        <is>
          <t>Athletes</t>
        </is>
      </c>
      <c r="B4" s="8" t="inlineStr">
        <is>
          <t>python</t>
        </is>
      </c>
      <c r="C4" s="42" t="n">
        <v>400</v>
      </c>
      <c r="D4" s="42" t="n">
        <v>1800</v>
      </c>
      <c r="E4" s="42" t="n">
        <v>5500</v>
      </c>
      <c r="F4" s="42" t="n">
        <v>13000</v>
      </c>
      <c r="G4" s="42" t="n">
        <v>25000</v>
      </c>
      <c r="H4" s="42" t="n">
        <v>38000</v>
      </c>
      <c r="I4" s="42" t="n">
        <v>52000</v>
      </c>
      <c r="J4" s="42" t="n">
        <v>65000</v>
      </c>
      <c r="K4" s="42" t="n">
        <v>76000</v>
      </c>
      <c r="L4" s="42" t="n">
        <v>85000</v>
      </c>
    </row>
    <row r="5">
      <c r="A5" s="7" t="inlineStr">
        <is>
          <t>Paying fans (year end)</t>
        </is>
      </c>
      <c r="B5" s="8" t="inlineStr">
        <is>
          <t>python</t>
        </is>
      </c>
      <c r="C5" s="42" t="n">
        <v>2057.84174041374</v>
      </c>
      <c r="D5" s="42" t="n">
        <v>12216.77513623969</v>
      </c>
      <c r="E5" s="42" t="n">
        <v>46332.54873998636</v>
      </c>
      <c r="F5" s="42" t="n">
        <v>130165.2787389947</v>
      </c>
      <c r="G5" s="42" t="n">
        <v>285069.434677292</v>
      </c>
      <c r="H5" s="42" t="n">
        <v>490646.3002045305</v>
      </c>
      <c r="I5" s="42" t="n">
        <v>759408.0000000001</v>
      </c>
      <c r="J5" s="42" t="n">
        <v>1007675.5</v>
      </c>
      <c r="K5" s="42" t="n">
        <v>1237523.200000001</v>
      </c>
      <c r="L5" s="42" t="n">
        <v>1415029</v>
      </c>
    </row>
    <row r="6">
      <c r="A6" s="7" t="inlineStr">
        <is>
          <t>Average paying fans</t>
        </is>
      </c>
      <c r="B6" s="8" t="inlineStr">
        <is>
          <t>python</t>
        </is>
      </c>
      <c r="C6" s="42" t="n">
        <v>1305.616369213765</v>
      </c>
      <c r="D6" s="42" t="n">
        <v>8460.569939583806</v>
      </c>
      <c r="E6" s="42" t="n">
        <v>33681.45306248255</v>
      </c>
      <c r="F6" s="42" t="n">
        <v>98963.81839944553</v>
      </c>
      <c r="G6" s="42" t="n">
        <v>227425.4773897808</v>
      </c>
      <c r="H6" s="42" t="n">
        <v>414207.6658039982</v>
      </c>
      <c r="I6" s="42" t="n">
        <v>657721.7669360247</v>
      </c>
      <c r="J6" s="42" t="n">
        <v>913140.2146882666</v>
      </c>
      <c r="K6" s="42" t="n">
        <v>1149376.178943606</v>
      </c>
      <c r="L6" s="42" t="n">
        <v>1346876.890546899</v>
      </c>
    </row>
    <row r="7">
      <c r="A7" s="7" t="inlineStr">
        <is>
          <t>Deals</t>
        </is>
      </c>
      <c r="B7" s="8" t="inlineStr">
        <is>
          <t>python</t>
        </is>
      </c>
      <c r="C7" s="42" t="n">
        <v>24.54</v>
      </c>
      <c r="D7" s="42" t="n">
        <v>175.824</v>
      </c>
      <c r="E7" s="42" t="n">
        <v>888.8000000000001</v>
      </c>
      <c r="F7" s="42" t="n">
        <v>3355.559999999999</v>
      </c>
      <c r="G7" s="42" t="n">
        <v>8969.5</v>
      </c>
      <c r="H7" s="42" t="n">
        <v>17518</v>
      </c>
      <c r="I7" s="42" t="n">
        <v>27331.2</v>
      </c>
      <c r="J7" s="42" t="n">
        <v>37741.6</v>
      </c>
      <c r="K7" s="42" t="n">
        <v>44472.16</v>
      </c>
      <c r="L7" s="42" t="n">
        <v>54270.8</v>
      </c>
    </row>
    <row r="8">
      <c r="A8" s="7" t="inlineStr">
        <is>
          <t>Total GMV</t>
        </is>
      </c>
      <c r="B8" s="8" t="inlineStr">
        <is>
          <t>python</t>
        </is>
      </c>
      <c r="C8" s="43" t="n">
        <v>195421.2990160638</v>
      </c>
      <c r="D8" s="43" t="n">
        <v>1368483.186726241</v>
      </c>
      <c r="E8" s="43" t="n">
        <v>6281119.322277579</v>
      </c>
      <c r="F8" s="43" t="n">
        <v>21555531.69968468</v>
      </c>
      <c r="G8" s="43" t="n">
        <v>56547437.14985803</v>
      </c>
      <c r="H8" s="43" t="n">
        <v>112416110.3922125</v>
      </c>
      <c r="I8" s="43" t="n">
        <v>185699583.3926271</v>
      </c>
      <c r="J8" s="43" t="n">
        <v>265231690.6684232</v>
      </c>
      <c r="K8" s="43" t="n">
        <v>333011385.764861</v>
      </c>
      <c r="L8" s="43" t="n">
        <v>410111470.9044263</v>
      </c>
    </row>
    <row r="9">
      <c r="A9" s="7" t="inlineStr">
        <is>
          <t>Net revenue</t>
        </is>
      </c>
      <c r="B9" s="8" t="inlineStr">
        <is>
          <t>python</t>
        </is>
      </c>
      <c r="C9" s="43" t="n">
        <v>29166.29485240957</v>
      </c>
      <c r="D9" s="43" t="n">
        <v>231466.7980089362</v>
      </c>
      <c r="E9" s="43" t="n">
        <v>1039255.898341637</v>
      </c>
      <c r="F9" s="43" t="n">
        <v>3369805.454952703</v>
      </c>
      <c r="G9" s="43" t="n">
        <v>8395820.572478704</v>
      </c>
      <c r="H9" s="43" t="n">
        <v>16203911.55883188</v>
      </c>
      <c r="I9" s="43" t="n">
        <v>26523705.50889406</v>
      </c>
      <c r="J9" s="43" t="n">
        <v>37689559.60026349</v>
      </c>
      <c r="K9" s="43" t="n">
        <v>47571802.66472916</v>
      </c>
      <c r="L9" s="43" t="n">
        <v>57961416.63566395</v>
      </c>
    </row>
    <row r="10">
      <c r="A10" s="7" t="inlineStr">
        <is>
          <t>Cost of sales</t>
        </is>
      </c>
      <c r="B10" s="8" t="inlineStr">
        <is>
          <t>python</t>
        </is>
      </c>
      <c r="C10" s="43" t="n">
        <v>14680.34718204357</v>
      </c>
      <c r="D10" s="43" t="n">
        <v>90534.34495559406</v>
      </c>
      <c r="E10" s="43" t="n">
        <v>378568.4277152619</v>
      </c>
      <c r="F10" s="43" t="n">
        <v>1194512.451577747</v>
      </c>
      <c r="G10" s="43" t="n">
        <v>2941000.036327691</v>
      </c>
      <c r="H10" s="43" t="n">
        <v>5587730.984864509</v>
      </c>
      <c r="I10" s="43" t="n">
        <v>9039382.759314347</v>
      </c>
      <c r="J10" s="43" t="n">
        <v>12737838.07332591</v>
      </c>
      <c r="K10" s="43" t="n">
        <v>15991727.04334662</v>
      </c>
      <c r="L10" s="43" t="n">
        <v>19382375.17672797</v>
      </c>
    </row>
    <row r="11">
      <c r="A11" s="7" t="inlineStr">
        <is>
          <t>Gross profit</t>
        </is>
      </c>
      <c r="B11" s="8" t="inlineStr">
        <is>
          <t>python</t>
        </is>
      </c>
      <c r="C11" s="43" t="n">
        <v>14485.94767036601</v>
      </c>
      <c r="D11" s="43" t="n">
        <v>140932.4530533421</v>
      </c>
      <c r="E11" s="43" t="n">
        <v>660687.4706263749</v>
      </c>
      <c r="F11" s="43" t="n">
        <v>2175293.003374956</v>
      </c>
      <c r="G11" s="43" t="n">
        <v>5454820.536151013</v>
      </c>
      <c r="H11" s="43" t="n">
        <v>10616180.57396737</v>
      </c>
      <c r="I11" s="43" t="n">
        <v>17484322.74957971</v>
      </c>
      <c r="J11" s="43" t="n">
        <v>24951721.52693758</v>
      </c>
      <c r="K11" s="43" t="n">
        <v>31580075.62138253</v>
      </c>
      <c r="L11" s="43" t="n">
        <v>38579041.45893598</v>
      </c>
    </row>
    <row r="12">
      <c r="A12" s="7" t="inlineStr">
        <is>
          <t>Operating costs</t>
        </is>
      </c>
      <c r="B12" s="8" t="inlineStr">
        <is>
          <t>python</t>
        </is>
      </c>
      <c r="C12" s="43" t="n">
        <v>106713.3035881928</v>
      </c>
      <c r="D12" s="43" t="n">
        <v>339580.5438407149</v>
      </c>
      <c r="E12" s="43" t="n">
        <v>988068.311867331</v>
      </c>
      <c r="F12" s="43" t="n">
        <v>2290796.436396216</v>
      </c>
      <c r="G12" s="43" t="n">
        <v>4270681.645798297</v>
      </c>
      <c r="H12" s="43" t="n">
        <v>6568757.92470655</v>
      </c>
      <c r="I12" s="43" t="n">
        <v>9306976.440711524</v>
      </c>
      <c r="J12" s="43" t="n">
        <v>11454508.76802108</v>
      </c>
      <c r="K12" s="43" t="n">
        <v>13113106.71317833</v>
      </c>
      <c r="L12" s="43" t="n">
        <v>14421220.53085312</v>
      </c>
    </row>
    <row r="13">
      <c r="A13" s="7" t="inlineStr">
        <is>
          <t>EBITDA</t>
        </is>
      </c>
      <c r="B13" s="8" t="inlineStr">
        <is>
          <t>python</t>
        </is>
      </c>
      <c r="C13" s="43" t="n">
        <v>-92227.35591782676</v>
      </c>
      <c r="D13" s="43" t="n">
        <v>-198648.0907873728</v>
      </c>
      <c r="E13" s="43" t="n">
        <v>-327380.8412409561</v>
      </c>
      <c r="F13" s="43" t="n">
        <v>-115503.43302126</v>
      </c>
      <c r="G13" s="43" t="n">
        <v>1184138.890352717</v>
      </c>
      <c r="H13" s="43" t="n">
        <v>4047422.649260825</v>
      </c>
      <c r="I13" s="43" t="n">
        <v>8177346.308868185</v>
      </c>
      <c r="J13" s="43" t="n">
        <v>13497212.7589165</v>
      </c>
      <c r="K13" s="43" t="n">
        <v>18466968.9082042</v>
      </c>
      <c r="L13" s="43" t="n">
        <v>24157820.92808286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2026-08-18T11:21:55Z</dcterms:created>
  <dcterms:modified xsi:type="dcterms:W3CDTF">2026-08-18T11:21:55Z</dcterms:modified>
</cp:coreProperties>
</file>