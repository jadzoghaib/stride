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166" fontId="15" fillId="5" borderId="2" pivotButton="0" quotePrefix="0" xfId="0"/>
    <xf numFmtId="166" fontId="15" fillId="5" borderId="1" pivotButton="0" quotePrefix="0" xfId="0"/>
    <xf numFmtId="167" fontId="14" fillId="3"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0.28</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0.14</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opening + gross adds - closing</t>
        </is>
      </c>
      <c r="C21" s="43">
        <f>C18-C17</f>
        <v/>
      </c>
      <c r="D21" s="43">
        <f>C17+D18-D17</f>
        <v/>
      </c>
      <c r="E21" s="43">
        <f>D17+E18-E17</f>
        <v/>
      </c>
      <c r="F21" s="43">
        <f>E17+F18-F17</f>
        <v/>
      </c>
      <c r="G21" s="43">
        <f>F17+G18-G17</f>
        <v/>
      </c>
      <c r="H21" s="43">
        <f>G17+H18-H17</f>
        <v/>
      </c>
      <c r="I21" s="43">
        <f>H17+I18-I17</f>
        <v/>
      </c>
      <c r="J21" s="43">
        <f>I17+J18-J17</f>
        <v/>
      </c>
      <c r="K21" s="43">
        <f>J17+K18-K17</f>
        <v/>
      </c>
      <c r="L21" s="43">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opening + gross adds - closing</t>
        </is>
      </c>
      <c r="C35" s="43">
        <f>C32-C31</f>
        <v/>
      </c>
      <c r="D35" s="43">
        <f>C31+D32-D31</f>
        <v/>
      </c>
      <c r="E35" s="43">
        <f>D31+E32-E31</f>
        <v/>
      </c>
      <c r="F35" s="43">
        <f>E31+F32-F31</f>
        <v/>
      </c>
      <c r="G35" s="43">
        <f>F31+G32-G31</f>
        <v/>
      </c>
      <c r="H35" s="43">
        <f>G31+H32-H31</f>
        <v/>
      </c>
      <c r="I35" s="43">
        <f>H31+I32-I31</f>
        <v/>
      </c>
      <c r="J35" s="43">
        <f>I31+J32-J31</f>
        <v/>
      </c>
      <c r="K35" s="43">
        <f>J31+K32-K31</f>
        <v/>
      </c>
      <c r="L35" s="43">
        <f>K31+L32-L31</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7" t="n">
        <v>0.01</v>
      </c>
      <c r="C27" s="58">
        <f>CashFlow!C9/(1+C$26)^1+CashFlow!D9/(1+C$26)^2+CashFlow!E9/(1+C$26)^3+CashFlow!F9/(1+C$26)^4+CashFlow!G9/(1+C$26)^5+CashFlow!H9/(1+C$26)^6+CashFlow!I9/(1+C$26)^7+CashFlow!J9/(1+C$26)^8+CashFlow!K9/(1+C$26)^9+CashFlow!L9/(1+C$26)^10+CashFlow!L9*(1+$A27)/(C$26-$A27)/(1+C$26)^10</f>
        <v/>
      </c>
      <c r="D27" s="58">
        <f>CashFlow!C9/(1+D$26)^1+CashFlow!D9/(1+D$26)^2+CashFlow!E9/(1+D$26)^3+CashFlow!F9/(1+D$26)^4+CashFlow!G9/(1+D$26)^5+CashFlow!H9/(1+D$26)^6+CashFlow!I9/(1+D$26)^7+CashFlow!J9/(1+D$26)^8+CashFlow!K9/(1+D$26)^9+CashFlow!L9/(1+D$26)^10+CashFlow!L9*(1+$A27)/(D$26-$A27)/(1+D$26)^10</f>
        <v/>
      </c>
      <c r="E27" s="58">
        <f>CashFlow!C9/(1+E$26)^1+CashFlow!D9/(1+E$26)^2+CashFlow!E9/(1+E$26)^3+CashFlow!F9/(1+E$26)^4+CashFlow!G9/(1+E$26)^5+CashFlow!H9/(1+E$26)^6+CashFlow!I9/(1+E$26)^7+CashFlow!J9/(1+E$26)^8+CashFlow!K9/(1+E$26)^9+CashFlow!L9/(1+E$26)^10+CashFlow!L9*(1+$A27)/(E$26-$A27)/(1+E$26)^10</f>
        <v/>
      </c>
      <c r="F27" s="58">
        <f>CashFlow!C9/(1+F$26)^1+CashFlow!D9/(1+F$26)^2+CashFlow!E9/(1+F$26)^3+CashFlow!F9/(1+F$26)^4+CashFlow!G9/(1+F$26)^5+CashFlow!H9/(1+F$26)^6+CashFlow!I9/(1+F$26)^7+CashFlow!J9/(1+F$26)^8+CashFlow!K9/(1+F$26)^9+CashFlow!L9/(1+F$26)^10+CashFlow!L9*(1+$A27)/(F$26-$A27)/(1+F$26)^10</f>
        <v/>
      </c>
      <c r="G27" s="58">
        <f>CashFlow!C9/(1+G$26)^1+CashFlow!D9/(1+G$26)^2+CashFlow!E9/(1+G$26)^3+CashFlow!F9/(1+G$26)^4+CashFlow!G9/(1+G$26)^5+CashFlow!H9/(1+G$26)^6+CashFlow!I9/(1+G$26)^7+CashFlow!J9/(1+G$26)^8+CashFlow!K9/(1+G$26)^9+CashFlow!L9/(1+G$26)^10+CashFlow!L9*(1+$A27)/(G$26-$A27)/(1+G$26)^10</f>
        <v/>
      </c>
      <c r="H27" s="58">
        <f>CashFlow!C9/(1+H$26)^1+CashFlow!D9/(1+H$26)^2+CashFlow!E9/(1+H$26)^3+CashFlow!F9/(1+H$26)^4+CashFlow!G9/(1+H$26)^5+CashFlow!H9/(1+H$26)^6+CashFlow!I9/(1+H$26)^7+CashFlow!J9/(1+H$26)^8+CashFlow!K9/(1+H$26)^9+CashFlow!L9/(1+H$26)^10+CashFlow!L9*(1+$A27)/(H$26-$A27)/(1+H$26)^10</f>
        <v/>
      </c>
    </row>
    <row r="28">
      <c r="A28" s="57" t="n">
        <v>0.02</v>
      </c>
      <c r="C28" s="58">
        <f>CashFlow!C9/(1+C$26)^1+CashFlow!D9/(1+C$26)^2+CashFlow!E9/(1+C$26)^3+CashFlow!F9/(1+C$26)^4+CashFlow!G9/(1+C$26)^5+CashFlow!H9/(1+C$26)^6+CashFlow!I9/(1+C$26)^7+CashFlow!J9/(1+C$26)^8+CashFlow!K9/(1+C$26)^9+CashFlow!L9/(1+C$26)^10+CashFlow!L9*(1+$A28)/(C$26-$A28)/(1+C$26)^10</f>
        <v/>
      </c>
      <c r="D28" s="58">
        <f>CashFlow!C9/(1+D$26)^1+CashFlow!D9/(1+D$26)^2+CashFlow!E9/(1+D$26)^3+CashFlow!F9/(1+D$26)^4+CashFlow!G9/(1+D$26)^5+CashFlow!H9/(1+D$26)^6+CashFlow!I9/(1+D$26)^7+CashFlow!J9/(1+D$26)^8+CashFlow!K9/(1+D$26)^9+CashFlow!L9/(1+D$26)^10+CashFlow!L9*(1+$A28)/(D$26-$A28)/(1+D$26)^10</f>
        <v/>
      </c>
      <c r="E28" s="58">
        <f>CashFlow!C9/(1+E$26)^1+CashFlow!D9/(1+E$26)^2+CashFlow!E9/(1+E$26)^3+CashFlow!F9/(1+E$26)^4+CashFlow!G9/(1+E$26)^5+CashFlow!H9/(1+E$26)^6+CashFlow!I9/(1+E$26)^7+CashFlow!J9/(1+E$26)^8+CashFlow!K9/(1+E$26)^9+CashFlow!L9/(1+E$26)^10+CashFlow!L9*(1+$A28)/(E$26-$A28)/(1+E$26)^10</f>
        <v/>
      </c>
      <c r="F28" s="58">
        <f>CashFlow!C9/(1+F$26)^1+CashFlow!D9/(1+F$26)^2+CashFlow!E9/(1+F$26)^3+CashFlow!F9/(1+F$26)^4+CashFlow!G9/(1+F$26)^5+CashFlow!H9/(1+F$26)^6+CashFlow!I9/(1+F$26)^7+CashFlow!J9/(1+F$26)^8+CashFlow!K9/(1+F$26)^9+CashFlow!L9/(1+F$26)^10+CashFlow!L9*(1+$A28)/(F$26-$A28)/(1+F$26)^10</f>
        <v/>
      </c>
      <c r="G28" s="58">
        <f>CashFlow!C9/(1+G$26)^1+CashFlow!D9/(1+G$26)^2+CashFlow!E9/(1+G$26)^3+CashFlow!F9/(1+G$26)^4+CashFlow!G9/(1+G$26)^5+CashFlow!H9/(1+G$26)^6+CashFlow!I9/(1+G$26)^7+CashFlow!J9/(1+G$26)^8+CashFlow!K9/(1+G$26)^9+CashFlow!L9/(1+G$26)^10+CashFlow!L9*(1+$A28)/(G$26-$A28)/(1+G$26)^10</f>
        <v/>
      </c>
      <c r="H28" s="58">
        <f>CashFlow!C9/(1+H$26)^1+CashFlow!D9/(1+H$26)^2+CashFlow!E9/(1+H$26)^3+CashFlow!F9/(1+H$26)^4+CashFlow!G9/(1+H$26)^5+CashFlow!H9/(1+H$26)^6+CashFlow!I9/(1+H$26)^7+CashFlow!J9/(1+H$26)^8+CashFlow!K9/(1+H$26)^9+CashFlow!L9/(1+H$26)^10+CashFlow!L9*(1+$A28)/(H$26-$A28)/(1+H$26)^10</f>
        <v/>
      </c>
    </row>
    <row r="29">
      <c r="A29" s="57" t="n">
        <v>0.03</v>
      </c>
      <c r="C29" s="58">
        <f>CashFlow!C9/(1+C$26)^1+CashFlow!D9/(1+C$26)^2+CashFlow!E9/(1+C$26)^3+CashFlow!F9/(1+C$26)^4+CashFlow!G9/(1+C$26)^5+CashFlow!H9/(1+C$26)^6+CashFlow!I9/(1+C$26)^7+CashFlow!J9/(1+C$26)^8+CashFlow!K9/(1+C$26)^9+CashFlow!L9/(1+C$26)^10+CashFlow!L9*(1+$A29)/(C$26-$A29)/(1+C$26)^10</f>
        <v/>
      </c>
      <c r="D29" s="58">
        <f>CashFlow!C9/(1+D$26)^1+CashFlow!D9/(1+D$26)^2+CashFlow!E9/(1+D$26)^3+CashFlow!F9/(1+D$26)^4+CashFlow!G9/(1+D$26)^5+CashFlow!H9/(1+D$26)^6+CashFlow!I9/(1+D$26)^7+CashFlow!J9/(1+D$26)^8+CashFlow!K9/(1+D$26)^9+CashFlow!L9/(1+D$26)^10+CashFlow!L9*(1+$A29)/(D$26-$A29)/(1+D$26)^10</f>
        <v/>
      </c>
      <c r="E29" s="58">
        <f>CashFlow!C9/(1+E$26)^1+CashFlow!D9/(1+E$26)^2+CashFlow!E9/(1+E$26)^3+CashFlow!F9/(1+E$26)^4+CashFlow!G9/(1+E$26)^5+CashFlow!H9/(1+E$26)^6+CashFlow!I9/(1+E$26)^7+CashFlow!J9/(1+E$26)^8+CashFlow!K9/(1+E$26)^9+CashFlow!L9/(1+E$26)^10+CashFlow!L9*(1+$A29)/(E$26-$A29)/(1+E$26)^10</f>
        <v/>
      </c>
      <c r="F29" s="58">
        <f>CashFlow!C9/(1+F$26)^1+CashFlow!D9/(1+F$26)^2+CashFlow!E9/(1+F$26)^3+CashFlow!F9/(1+F$26)^4+CashFlow!G9/(1+F$26)^5+CashFlow!H9/(1+F$26)^6+CashFlow!I9/(1+F$26)^7+CashFlow!J9/(1+F$26)^8+CashFlow!K9/(1+F$26)^9+CashFlow!L9/(1+F$26)^10+CashFlow!L9*(1+$A29)/(F$26-$A29)/(1+F$26)^10</f>
        <v/>
      </c>
      <c r="G29" s="58">
        <f>CashFlow!C9/(1+G$26)^1+CashFlow!D9/(1+G$26)^2+CashFlow!E9/(1+G$26)^3+CashFlow!F9/(1+G$26)^4+CashFlow!G9/(1+G$26)^5+CashFlow!H9/(1+G$26)^6+CashFlow!I9/(1+G$26)^7+CashFlow!J9/(1+G$26)^8+CashFlow!K9/(1+G$26)^9+CashFlow!L9/(1+G$26)^10+CashFlow!L9*(1+$A29)/(G$26-$A29)/(1+G$26)^10</f>
        <v/>
      </c>
      <c r="H29" s="58">
        <f>CashFlow!C9/(1+H$26)^1+CashFlow!D9/(1+H$26)^2+CashFlow!E9/(1+H$26)^3+CashFlow!F9/(1+H$26)^4+CashFlow!G9/(1+H$26)^5+CashFlow!H9/(1+H$26)^6+CashFlow!I9/(1+H$26)^7+CashFlow!J9/(1+H$26)^8+CashFlow!K9/(1+H$26)^9+CashFlow!L9/(1+H$26)^10+CashFlow!L9*(1+$A29)/(H$26-$A29)/(1+H$26)^10</f>
        <v/>
      </c>
    </row>
    <row r="30">
      <c r="A30" s="57" t="n">
        <v>0.04</v>
      </c>
      <c r="C30" s="58">
        <f>CashFlow!C9/(1+C$26)^1+CashFlow!D9/(1+C$26)^2+CashFlow!E9/(1+C$26)^3+CashFlow!F9/(1+C$26)^4+CashFlow!G9/(1+C$26)^5+CashFlow!H9/(1+C$26)^6+CashFlow!I9/(1+C$26)^7+CashFlow!J9/(1+C$26)^8+CashFlow!K9/(1+C$26)^9+CashFlow!L9/(1+C$26)^10+CashFlow!L9*(1+$A30)/(C$26-$A30)/(1+C$26)^10</f>
        <v/>
      </c>
      <c r="D30" s="58">
        <f>CashFlow!C9/(1+D$26)^1+CashFlow!D9/(1+D$26)^2+CashFlow!E9/(1+D$26)^3+CashFlow!F9/(1+D$26)^4+CashFlow!G9/(1+D$26)^5+CashFlow!H9/(1+D$26)^6+CashFlow!I9/(1+D$26)^7+CashFlow!J9/(1+D$26)^8+CashFlow!K9/(1+D$26)^9+CashFlow!L9/(1+D$26)^10+CashFlow!L9*(1+$A30)/(D$26-$A30)/(1+D$26)^10</f>
        <v/>
      </c>
      <c r="E30" s="58">
        <f>CashFlow!C9/(1+E$26)^1+CashFlow!D9/(1+E$26)^2+CashFlow!E9/(1+E$26)^3+CashFlow!F9/(1+E$26)^4+CashFlow!G9/(1+E$26)^5+CashFlow!H9/(1+E$26)^6+CashFlow!I9/(1+E$26)^7+CashFlow!J9/(1+E$26)^8+CashFlow!K9/(1+E$26)^9+CashFlow!L9/(1+E$26)^10+CashFlow!L9*(1+$A30)/(E$26-$A30)/(1+E$26)^10</f>
        <v/>
      </c>
      <c r="F30" s="58">
        <f>CashFlow!C9/(1+F$26)^1+CashFlow!D9/(1+F$26)^2+CashFlow!E9/(1+F$26)^3+CashFlow!F9/(1+F$26)^4+CashFlow!G9/(1+F$26)^5+CashFlow!H9/(1+F$26)^6+CashFlow!I9/(1+F$26)^7+CashFlow!J9/(1+F$26)^8+CashFlow!K9/(1+F$26)^9+CashFlow!L9/(1+F$26)^10+CashFlow!L9*(1+$A30)/(F$26-$A30)/(1+F$26)^10</f>
        <v/>
      </c>
      <c r="G30" s="58">
        <f>CashFlow!C9/(1+G$26)^1+CashFlow!D9/(1+G$26)^2+CashFlow!E9/(1+G$26)^3+CashFlow!F9/(1+G$26)^4+CashFlow!G9/(1+G$26)^5+CashFlow!H9/(1+G$26)^6+CashFlow!I9/(1+G$26)^7+CashFlow!J9/(1+G$26)^8+CashFlow!K9/(1+G$26)^9+CashFlow!L9/(1+G$26)^10+CashFlow!L9*(1+$A30)/(G$26-$A30)/(1+G$26)^10</f>
        <v/>
      </c>
      <c r="H30" s="58">
        <f>CashFlow!C9/(1+H$26)^1+CashFlow!D9/(1+H$26)^2+CashFlow!E9/(1+H$26)^3+CashFlow!F9/(1+H$26)^4+CashFlow!G9/(1+H$26)^5+CashFlow!H9/(1+H$26)^6+CashFlow!I9/(1+H$26)^7+CashFlow!J9/(1+H$26)^8+CashFlow!K9/(1+H$26)^9+CashFlow!L9/(1+H$26)^10+CashFlow!L9*(1+$A30)/(H$26-$A30)/(1+H$26)^10</f>
        <v/>
      </c>
    </row>
    <row r="31">
      <c r="A31" s="57" t="n">
        <v>0.05</v>
      </c>
      <c r="C31" s="58">
        <f>CashFlow!C9/(1+C$26)^1+CashFlow!D9/(1+C$26)^2+CashFlow!E9/(1+C$26)^3+CashFlow!F9/(1+C$26)^4+CashFlow!G9/(1+C$26)^5+CashFlow!H9/(1+C$26)^6+CashFlow!I9/(1+C$26)^7+CashFlow!J9/(1+C$26)^8+CashFlow!K9/(1+C$26)^9+CashFlow!L9/(1+C$26)^10+CashFlow!L9*(1+$A31)/(C$26-$A31)/(1+C$26)^10</f>
        <v/>
      </c>
      <c r="D31" s="58">
        <f>CashFlow!C9/(1+D$26)^1+CashFlow!D9/(1+D$26)^2+CashFlow!E9/(1+D$26)^3+CashFlow!F9/(1+D$26)^4+CashFlow!G9/(1+D$26)^5+CashFlow!H9/(1+D$26)^6+CashFlow!I9/(1+D$26)^7+CashFlow!J9/(1+D$26)^8+CashFlow!K9/(1+D$26)^9+CashFlow!L9/(1+D$26)^10+CashFlow!L9*(1+$A31)/(D$26-$A31)/(1+D$26)^10</f>
        <v/>
      </c>
      <c r="E31" s="58">
        <f>CashFlow!C9/(1+E$26)^1+CashFlow!D9/(1+E$26)^2+CashFlow!E9/(1+E$26)^3+CashFlow!F9/(1+E$26)^4+CashFlow!G9/(1+E$26)^5+CashFlow!H9/(1+E$26)^6+CashFlow!I9/(1+E$26)^7+CashFlow!J9/(1+E$26)^8+CashFlow!K9/(1+E$26)^9+CashFlow!L9/(1+E$26)^10+CashFlow!L9*(1+$A31)/(E$26-$A31)/(1+E$26)^10</f>
        <v/>
      </c>
      <c r="F31" s="58">
        <f>CashFlow!C9/(1+F$26)^1+CashFlow!D9/(1+F$26)^2+CashFlow!E9/(1+F$26)^3+CashFlow!F9/(1+F$26)^4+CashFlow!G9/(1+F$26)^5+CashFlow!H9/(1+F$26)^6+CashFlow!I9/(1+F$26)^7+CashFlow!J9/(1+F$26)^8+CashFlow!K9/(1+F$26)^9+CashFlow!L9/(1+F$26)^10+CashFlow!L9*(1+$A31)/(F$26-$A31)/(1+F$26)^10</f>
        <v/>
      </c>
      <c r="G31" s="58">
        <f>CashFlow!C9/(1+G$26)^1+CashFlow!D9/(1+G$26)^2+CashFlow!E9/(1+G$26)^3+CashFlow!F9/(1+G$26)^4+CashFlow!G9/(1+G$26)^5+CashFlow!H9/(1+G$26)^6+CashFlow!I9/(1+G$26)^7+CashFlow!J9/(1+G$26)^8+CashFlow!K9/(1+G$26)^9+CashFlow!L9/(1+G$26)^10+CashFlow!L9*(1+$A31)/(G$26-$A31)/(1+G$26)^10</f>
        <v/>
      </c>
      <c r="H31" s="58">
        <f>CashFlow!C9/(1+H$26)^1+CashFlow!D9/(1+H$26)^2+CashFlow!E9/(1+H$26)^3+CashFlow!F9/(1+H$26)^4+CashFlow!G9/(1+H$26)^5+CashFlow!H9/(1+H$26)^6+CashFlow!I9/(1+H$26)^7+CashFlow!J9/(1+H$26)^8+CashFlow!K9/(1+H$26)^9+CashFlow!L9/(1+H$26)^10+CashFlow!L9*(1+$A31)/(H$26-$A31)/(1+H$26)^10</f>
        <v/>
      </c>
    </row>
    <row r="32">
      <c r="A32" s="59"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60">
        <f>SUM(C5:C11)</f>
        <v/>
      </c>
      <c r="D12" s="60">
        <f>SUM(D5:D11)</f>
        <v/>
      </c>
      <c r="E12" s="60">
        <f>SUM(E5:E11)</f>
        <v/>
      </c>
      <c r="F12" s="60">
        <f>SUM(F5:F11)</f>
        <v/>
      </c>
      <c r="G12" s="60">
        <f>SUM(G5:G11)</f>
        <v/>
      </c>
      <c r="H12" s="60">
        <f>SUM(H5:H11)</f>
        <v/>
      </c>
      <c r="I12" s="60">
        <f>SUM(I5:I11)</f>
        <v/>
      </c>
      <c r="J12" s="60">
        <f>SUM(J5:J11)</f>
        <v/>
      </c>
      <c r="K12" s="60">
        <f>SUM(K5:K11)</f>
        <v/>
      </c>
      <c r="L12" s="60">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61">
        <f>ROUND(C12-C13,3)</f>
        <v/>
      </c>
      <c r="D14" s="61">
        <f>ROUND(D12-D13,3)</f>
        <v/>
      </c>
      <c r="E14" s="61">
        <f>ROUND(E12-E13,3)</f>
        <v/>
      </c>
      <c r="F14" s="61">
        <f>ROUND(F12-F13,3)</f>
        <v/>
      </c>
      <c r="G14" s="61">
        <f>ROUND(G12-G13,3)</f>
        <v/>
      </c>
      <c r="H14" s="61">
        <f>ROUND(H12-H13,3)</f>
        <v/>
      </c>
      <c r="I14" s="61">
        <f>ROUND(I12-I13,3)</f>
        <v/>
      </c>
      <c r="J14" s="61">
        <f>ROUND(J12-J13,3)</f>
        <v/>
      </c>
      <c r="K14" s="61">
        <f>ROUND(K12-K13,3)</f>
        <v/>
      </c>
      <c r="L14" s="61">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GROSS SALARY BY ROLE</t>
        </is>
      </c>
      <c r="B18" s="16" t="inlineStr">
        <is>
          <t>EUR, before employer SS</t>
        </is>
      </c>
      <c r="C18" s="50" t="n"/>
      <c r="D18" s="50" t="n"/>
      <c r="E18" s="50" t="n"/>
      <c r="F18" s="50" t="n"/>
      <c r="G18" s="50" t="n"/>
      <c r="H18" s="50" t="n"/>
      <c r="I18" s="50" t="n"/>
      <c r="J18" s="50" t="n"/>
      <c r="K18" s="50" t="n"/>
      <c r="L18" s="50" t="n"/>
    </row>
    <row r="19">
      <c r="A19" s="15" t="inlineStr">
        <is>
          <t xml:space="preserve">  Founder / CEO</t>
        </is>
      </c>
      <c r="B19" s="16" t="inlineStr">
        <is>
          <t>EUR</t>
        </is>
      </c>
      <c r="C19" s="62" t="n">
        <v>45000</v>
      </c>
      <c r="D19" s="32">
        <f>C19</f>
        <v/>
      </c>
      <c r="E19" s="32">
        <f>C19</f>
        <v/>
      </c>
      <c r="F19" s="32">
        <f>C19</f>
        <v/>
      </c>
      <c r="G19" s="32">
        <f>C19</f>
        <v/>
      </c>
      <c r="H19" s="32">
        <f>C19</f>
        <v/>
      </c>
      <c r="I19" s="32">
        <f>C19</f>
        <v/>
      </c>
      <c r="J19" s="32">
        <f>C19</f>
        <v/>
      </c>
      <c r="K19" s="32">
        <f>C19</f>
        <v/>
      </c>
      <c r="L19" s="32">
        <f>C19</f>
        <v/>
      </c>
    </row>
    <row r="20">
      <c r="A20" s="15" t="inlineStr">
        <is>
          <t xml:space="preserve">  Engineering</t>
        </is>
      </c>
      <c r="B20" s="16" t="inlineStr">
        <is>
          <t>EUR</t>
        </is>
      </c>
      <c r="C20" s="62" t="n">
        <v>55000</v>
      </c>
      <c r="D20" s="32">
        <f>C20</f>
        <v/>
      </c>
      <c r="E20" s="32">
        <f>C20</f>
        <v/>
      </c>
      <c r="F20" s="32">
        <f>C20</f>
        <v/>
      </c>
      <c r="G20" s="32">
        <f>C20</f>
        <v/>
      </c>
      <c r="H20" s="32">
        <f>C20</f>
        <v/>
      </c>
      <c r="I20" s="32">
        <f>C20</f>
        <v/>
      </c>
      <c r="J20" s="32">
        <f>C20</f>
        <v/>
      </c>
      <c r="K20" s="32">
        <f>C20</f>
        <v/>
      </c>
      <c r="L20" s="32">
        <f>C20</f>
        <v/>
      </c>
    </row>
    <row r="21">
      <c r="A21" s="15" t="inlineStr">
        <is>
          <t xml:space="preserve">  BD / partnerships</t>
        </is>
      </c>
      <c r="B21" s="16" t="inlineStr">
        <is>
          <t>EUR</t>
        </is>
      </c>
      <c r="C21" s="62" t="n">
        <v>38000</v>
      </c>
      <c r="D21" s="32">
        <f>C21</f>
        <v/>
      </c>
      <c r="E21" s="32">
        <f>C21</f>
        <v/>
      </c>
      <c r="F21" s="32">
        <f>C21</f>
        <v/>
      </c>
      <c r="G21" s="32">
        <f>C21</f>
        <v/>
      </c>
      <c r="H21" s="32">
        <f>C21</f>
        <v/>
      </c>
      <c r="I21" s="32">
        <f>C21</f>
        <v/>
      </c>
      <c r="J21" s="32">
        <f>C21</f>
        <v/>
      </c>
      <c r="K21" s="32">
        <f>C21</f>
        <v/>
      </c>
      <c r="L21" s="32">
        <f>C21</f>
        <v/>
      </c>
    </row>
    <row r="22">
      <c r="A22" s="15" t="inlineStr">
        <is>
          <t xml:space="preserve">  Athlete success</t>
        </is>
      </c>
      <c r="B22" s="16" t="inlineStr">
        <is>
          <t>EUR</t>
        </is>
      </c>
      <c r="C22" s="62" t="n">
        <v>30000</v>
      </c>
      <c r="D22" s="32">
        <f>C22</f>
        <v/>
      </c>
      <c r="E22" s="32">
        <f>C22</f>
        <v/>
      </c>
      <c r="F22" s="32">
        <f>C22</f>
        <v/>
      </c>
      <c r="G22" s="32">
        <f>C22</f>
        <v/>
      </c>
      <c r="H22" s="32">
        <f>C22</f>
        <v/>
      </c>
      <c r="I22" s="32">
        <f>C22</f>
        <v/>
      </c>
      <c r="J22" s="32">
        <f>C22</f>
        <v/>
      </c>
      <c r="K22" s="32">
        <f>C22</f>
        <v/>
      </c>
      <c r="L22" s="32">
        <f>C22</f>
        <v/>
      </c>
    </row>
    <row r="23">
      <c r="A23" s="15" t="inlineStr">
        <is>
          <t xml:space="preserve">  Trust &amp; safety / review</t>
        </is>
      </c>
      <c r="B23" s="16" t="inlineStr">
        <is>
          <t>EUR</t>
        </is>
      </c>
      <c r="C23" s="62" t="n">
        <v>34000</v>
      </c>
      <c r="D23" s="32">
        <f>C23</f>
        <v/>
      </c>
      <c r="E23" s="32">
        <f>C23</f>
        <v/>
      </c>
      <c r="F23" s="32">
        <f>C23</f>
        <v/>
      </c>
      <c r="G23" s="32">
        <f>C23</f>
        <v/>
      </c>
      <c r="H23" s="32">
        <f>C23</f>
        <v/>
      </c>
      <c r="I23" s="32">
        <f>C23</f>
        <v/>
      </c>
      <c r="J23" s="32">
        <f>C23</f>
        <v/>
      </c>
      <c r="K23" s="32">
        <f>C23</f>
        <v/>
      </c>
      <c r="L23" s="32">
        <f>C23</f>
        <v/>
      </c>
    </row>
    <row r="24">
      <c r="A24" s="15" t="inlineStr">
        <is>
          <t xml:space="preserve">  Finance / operations</t>
        </is>
      </c>
      <c r="B24" s="16" t="inlineStr">
        <is>
          <t>EUR</t>
        </is>
      </c>
      <c r="C24" s="62" t="n">
        <v>42000</v>
      </c>
      <c r="D24" s="32">
        <f>C24</f>
        <v/>
      </c>
      <c r="E24" s="32">
        <f>C24</f>
        <v/>
      </c>
      <c r="F24" s="32">
        <f>C24</f>
        <v/>
      </c>
      <c r="G24" s="32">
        <f>C24</f>
        <v/>
      </c>
      <c r="H24" s="32">
        <f>C24</f>
        <v/>
      </c>
      <c r="I24" s="32">
        <f>C24</f>
        <v/>
      </c>
      <c r="J24" s="32">
        <f>C24</f>
        <v/>
      </c>
      <c r="K24" s="32">
        <f>C24</f>
        <v/>
      </c>
      <c r="L24" s="32">
        <f>C24</f>
        <v/>
      </c>
    </row>
    <row r="25">
      <c r="A25" s="15" t="inlineStr">
        <is>
          <t xml:space="preserve">  Data protection officer</t>
        </is>
      </c>
      <c r="B25" s="16" t="inlineStr">
        <is>
          <t>EUR</t>
        </is>
      </c>
      <c r="C25" s="62" t="n">
        <v>60000</v>
      </c>
      <c r="D25" s="32">
        <f>C25</f>
        <v/>
      </c>
      <c r="E25" s="32">
        <f>C25</f>
        <v/>
      </c>
      <c r="F25" s="32">
        <f>C25</f>
        <v/>
      </c>
      <c r="G25" s="32">
        <f>C25</f>
        <v/>
      </c>
      <c r="H25" s="32">
        <f>C25</f>
        <v/>
      </c>
      <c r="I25" s="32">
        <f>C25</f>
        <v/>
      </c>
      <c r="J25" s="32">
        <f>C25</f>
        <v/>
      </c>
      <c r="K25" s="32">
        <f>C25</f>
        <v/>
      </c>
      <c r="L25" s="32">
        <f>C25</f>
        <v/>
      </c>
    </row>
    <row r="27">
      <c r="A27" s="15" t="inlineStr">
        <is>
          <t>Founder / CEO: loaded</t>
        </is>
      </c>
      <c r="B27" s="16" t="inlineStr">
        <is>
          <t>EUR</t>
        </is>
      </c>
      <c r="C27" s="50">
        <f>C5*C$19*(1+C17)</f>
        <v/>
      </c>
      <c r="D27" s="50">
        <f>D5*D$19*(1+D17)</f>
        <v/>
      </c>
      <c r="E27" s="50">
        <f>E5*E$19*(1+E17)</f>
        <v/>
      </c>
      <c r="F27" s="50">
        <f>F5*F$19*(1+F17)</f>
        <v/>
      </c>
      <c r="G27" s="50">
        <f>G5*G$19*(1+G17)</f>
        <v/>
      </c>
      <c r="H27" s="50">
        <f>H5*H$19*(1+H17)</f>
        <v/>
      </c>
      <c r="I27" s="50">
        <f>I5*I$19*(1+I17)</f>
        <v/>
      </c>
      <c r="J27" s="50">
        <f>J5*J$19*(1+J17)</f>
        <v/>
      </c>
      <c r="K27" s="50">
        <f>K5*K$19*(1+K17)</f>
        <v/>
      </c>
      <c r="L27" s="50">
        <f>L5*L$19*(1+L17)</f>
        <v/>
      </c>
    </row>
    <row r="28">
      <c r="A28" s="15" t="inlineStr">
        <is>
          <t>Engineering: loaded</t>
        </is>
      </c>
      <c r="B28" s="16" t="inlineStr">
        <is>
          <t>EUR</t>
        </is>
      </c>
      <c r="C28" s="50">
        <f>C6*C$20*(1+C17)</f>
        <v/>
      </c>
      <c r="D28" s="50">
        <f>D6*D$20*(1+D17)</f>
        <v/>
      </c>
      <c r="E28" s="50">
        <f>E6*E$20*(1+E17)</f>
        <v/>
      </c>
      <c r="F28" s="50">
        <f>F6*F$20*(1+F17)</f>
        <v/>
      </c>
      <c r="G28" s="50">
        <f>G6*G$20*(1+G17)</f>
        <v/>
      </c>
      <c r="H28" s="50">
        <f>H6*H$20*(1+H17)</f>
        <v/>
      </c>
      <c r="I28" s="50">
        <f>I6*I$20*(1+I17)</f>
        <v/>
      </c>
      <c r="J28" s="50">
        <f>J6*J$20*(1+J17)</f>
        <v/>
      </c>
      <c r="K28" s="50">
        <f>K6*K$20*(1+K17)</f>
        <v/>
      </c>
      <c r="L28" s="50">
        <f>L6*L$20*(1+L17)</f>
        <v/>
      </c>
    </row>
    <row r="29">
      <c r="A29" s="15" t="inlineStr">
        <is>
          <t>BD / partnerships: loaded</t>
        </is>
      </c>
      <c r="B29" s="16" t="inlineStr">
        <is>
          <t>EUR</t>
        </is>
      </c>
      <c r="C29" s="50">
        <f>C7*C$21*(1+C17)</f>
        <v/>
      </c>
      <c r="D29" s="50">
        <f>D7*D$21*(1+D17)</f>
        <v/>
      </c>
      <c r="E29" s="50">
        <f>E7*E$21*(1+E17)</f>
        <v/>
      </c>
      <c r="F29" s="50">
        <f>F7*F$21*(1+F17)</f>
        <v/>
      </c>
      <c r="G29" s="50">
        <f>G7*G$21*(1+G17)</f>
        <v/>
      </c>
      <c r="H29" s="50">
        <f>H7*H$21*(1+H17)</f>
        <v/>
      </c>
      <c r="I29" s="50">
        <f>I7*I$21*(1+I17)</f>
        <v/>
      </c>
      <c r="J29" s="50">
        <f>J7*J$21*(1+J17)</f>
        <v/>
      </c>
      <c r="K29" s="50">
        <f>K7*K$21*(1+K17)</f>
        <v/>
      </c>
      <c r="L29" s="50">
        <f>L7*L$21*(1+L17)</f>
        <v/>
      </c>
    </row>
    <row r="30">
      <c r="A30" s="15" t="inlineStr">
        <is>
          <t>Athlete success: loaded</t>
        </is>
      </c>
      <c r="B30" s="16" t="inlineStr">
        <is>
          <t>EUR</t>
        </is>
      </c>
      <c r="C30" s="50">
        <f>C8*C$22*(1+C17)</f>
        <v/>
      </c>
      <c r="D30" s="50">
        <f>D8*D$22*(1+D17)</f>
        <v/>
      </c>
      <c r="E30" s="50">
        <f>E8*E$22*(1+E17)</f>
        <v/>
      </c>
      <c r="F30" s="50">
        <f>F8*F$22*(1+F17)</f>
        <v/>
      </c>
      <c r="G30" s="50">
        <f>G8*G$22*(1+G17)</f>
        <v/>
      </c>
      <c r="H30" s="50">
        <f>H8*H$22*(1+H17)</f>
        <v/>
      </c>
      <c r="I30" s="50">
        <f>I8*I$22*(1+I17)</f>
        <v/>
      </c>
      <c r="J30" s="50">
        <f>J8*J$22*(1+J17)</f>
        <v/>
      </c>
      <c r="K30" s="50">
        <f>K8*K$22*(1+K17)</f>
        <v/>
      </c>
      <c r="L30" s="50">
        <f>L8*L$22*(1+L17)</f>
        <v/>
      </c>
    </row>
    <row r="31">
      <c r="A31" s="15" t="inlineStr">
        <is>
          <t>Trust &amp; safety / review: loaded</t>
        </is>
      </c>
      <c r="B31" s="16" t="inlineStr">
        <is>
          <t>EUR</t>
        </is>
      </c>
      <c r="C31" s="50">
        <f>C9*C$23*(1+C17)</f>
        <v/>
      </c>
      <c r="D31" s="50">
        <f>D9*D$23*(1+D17)</f>
        <v/>
      </c>
      <c r="E31" s="50">
        <f>E9*E$23*(1+E17)</f>
        <v/>
      </c>
      <c r="F31" s="50">
        <f>F9*F$23*(1+F17)</f>
        <v/>
      </c>
      <c r="G31" s="50">
        <f>G9*G$23*(1+G17)</f>
        <v/>
      </c>
      <c r="H31" s="50">
        <f>H9*H$23*(1+H17)</f>
        <v/>
      </c>
      <c r="I31" s="50">
        <f>I9*I$23*(1+I17)</f>
        <v/>
      </c>
      <c r="J31" s="50">
        <f>J9*J$23*(1+J17)</f>
        <v/>
      </c>
      <c r="K31" s="50">
        <f>K9*K$23*(1+K17)</f>
        <v/>
      </c>
      <c r="L31" s="50">
        <f>L9*L$23*(1+L17)</f>
        <v/>
      </c>
    </row>
    <row r="32">
      <c r="A32" s="15" t="inlineStr">
        <is>
          <t>Finance / operations: loaded</t>
        </is>
      </c>
      <c r="B32" s="16" t="inlineStr">
        <is>
          <t>EUR</t>
        </is>
      </c>
      <c r="C32" s="50">
        <f>C10*C$24*(1+C17)</f>
        <v/>
      </c>
      <c r="D32" s="50">
        <f>D10*D$24*(1+D17)</f>
        <v/>
      </c>
      <c r="E32" s="50">
        <f>E10*E$24*(1+E17)</f>
        <v/>
      </c>
      <c r="F32" s="50">
        <f>F10*F$24*(1+F17)</f>
        <v/>
      </c>
      <c r="G32" s="50">
        <f>G10*G$24*(1+G17)</f>
        <v/>
      </c>
      <c r="H32" s="50">
        <f>H10*H$24*(1+H17)</f>
        <v/>
      </c>
      <c r="I32" s="50">
        <f>I10*I$24*(1+I17)</f>
        <v/>
      </c>
      <c r="J32" s="50">
        <f>J10*J$24*(1+J17)</f>
        <v/>
      </c>
      <c r="K32" s="50">
        <f>K10*K$24*(1+K17)</f>
        <v/>
      </c>
      <c r="L32" s="50">
        <f>L10*L$24*(1+L17)</f>
        <v/>
      </c>
    </row>
    <row r="33">
      <c r="A33" s="15" t="inlineStr">
        <is>
          <t>Data protection officer: loaded</t>
        </is>
      </c>
      <c r="B33" s="16" t="inlineStr">
        <is>
          <t>EUR</t>
        </is>
      </c>
      <c r="C33" s="50">
        <f>C11*C$25*(1+C17)</f>
        <v/>
      </c>
      <c r="D33" s="50">
        <f>D11*D$25*(1+D17)</f>
        <v/>
      </c>
      <c r="E33" s="50">
        <f>E11*E$25*(1+E17)</f>
        <v/>
      </c>
      <c r="F33" s="50">
        <f>F11*F$25*(1+F17)</f>
        <v/>
      </c>
      <c r="G33" s="50">
        <f>G11*G$25*(1+G17)</f>
        <v/>
      </c>
      <c r="H33" s="50">
        <f>H11*H$25*(1+H17)</f>
        <v/>
      </c>
      <c r="I33" s="50">
        <f>I11*I$25*(1+I17)</f>
        <v/>
      </c>
      <c r="J33" s="50">
        <f>J11*J$25*(1+J17)</f>
        <v/>
      </c>
      <c r="K33" s="50">
        <f>K11*K$25*(1+K17)</f>
        <v/>
      </c>
      <c r="L33" s="50">
        <f>L11*L$25*(1+L17)</f>
        <v/>
      </c>
    </row>
    <row r="34">
      <c r="A34" s="48" t="inlineStr">
        <is>
          <t>TOTAL, role build-up</t>
        </is>
      </c>
      <c r="B34" s="41" t="inlineStr">
        <is>
          <t>EUR</t>
        </is>
      </c>
      <c r="C34" s="49">
        <f>SUM(C27:C33)</f>
        <v/>
      </c>
      <c r="D34" s="49">
        <f>SUM(D27:D33)</f>
        <v/>
      </c>
      <c r="E34" s="49">
        <f>SUM(E27:E33)</f>
        <v/>
      </c>
      <c r="F34" s="49">
        <f>SUM(F27:F33)</f>
        <v/>
      </c>
      <c r="G34" s="49">
        <f>SUM(G27:G33)</f>
        <v/>
      </c>
      <c r="H34" s="49">
        <f>SUM(H27:H33)</f>
        <v/>
      </c>
      <c r="I34" s="49">
        <f>SUM(I27:I33)</f>
        <v/>
      </c>
      <c r="J34" s="49">
        <f>SUM(J27:J33)</f>
        <v/>
      </c>
      <c r="K34" s="49">
        <f>SUM(K27:K33)</f>
        <v/>
      </c>
      <c r="L34" s="49">
        <f>SUM(L27:L33)</f>
        <v/>
      </c>
    </row>
    <row r="35">
      <c r="A35" s="15" t="inlineStr">
        <is>
          <t>People cost in the model</t>
        </is>
      </c>
      <c r="B35" s="16" t="inlineStr">
        <is>
          <t>Costs</t>
        </is>
      </c>
      <c r="C35" s="32">
        <f>Costs!C17</f>
        <v/>
      </c>
      <c r="D35" s="32">
        <f>Costs!D17</f>
        <v/>
      </c>
      <c r="E35" s="32">
        <f>Costs!E17</f>
        <v/>
      </c>
      <c r="F35" s="32">
        <f>Costs!F17</f>
        <v/>
      </c>
      <c r="G35" s="32">
        <f>Costs!G17</f>
        <v/>
      </c>
      <c r="H35" s="32">
        <f>Costs!H17</f>
        <v/>
      </c>
      <c r="I35" s="32">
        <f>Costs!I17</f>
        <v/>
      </c>
      <c r="J35" s="32">
        <f>Costs!J17</f>
        <v/>
      </c>
      <c r="K35" s="32">
        <f>Costs!K17</f>
        <v/>
      </c>
      <c r="L35" s="32">
        <f>Costs!L17</f>
        <v/>
      </c>
    </row>
    <row r="36">
      <c r="A36" s="15" t="inlineStr">
        <is>
          <t>Difference: role mix</t>
        </is>
      </c>
      <c r="B36" s="16" t="inlineStr">
        <is>
          <t>build-up less model</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memo: build-up per FTE</t>
        </is>
      </c>
      <c r="B37" s="16" t="inlineStr">
        <is>
          <t>EUR</t>
        </is>
      </c>
      <c r="C37" s="63">
        <f>IF(C12=0,0,C34/C12)</f>
        <v/>
      </c>
      <c r="D37" s="63">
        <f>IF(D12=0,0,D34/D12)</f>
        <v/>
      </c>
      <c r="E37" s="63">
        <f>IF(E12=0,0,E34/E12)</f>
        <v/>
      </c>
      <c r="F37" s="63">
        <f>IF(F12=0,0,F34/F12)</f>
        <v/>
      </c>
      <c r="G37" s="63">
        <f>IF(G12=0,0,G34/G12)</f>
        <v/>
      </c>
      <c r="H37" s="63">
        <f>IF(H12=0,0,H34/H12)</f>
        <v/>
      </c>
      <c r="I37" s="63">
        <f>IF(I12=0,0,I34/I12)</f>
        <v/>
      </c>
      <c r="J37" s="63">
        <f>IF(J12=0,0,J34/J12)</f>
        <v/>
      </c>
      <c r="K37" s="63">
        <f>IF(K12=0,0,K34/K12)</f>
        <v/>
      </c>
      <c r="L37" s="63">
        <f>IF(L12=0,0,L34/L12)</f>
        <v/>
      </c>
    </row>
    <row r="38">
      <c r="A38" s="15" t="inlineStr">
        <is>
          <t xml:space="preserve">  memo: model blended per FTE</t>
        </is>
      </c>
      <c r="B38" s="16" t="inlineStr">
        <is>
          <t>EUR</t>
        </is>
      </c>
      <c r="C38" s="32">
        <f>Assumptions!C67</f>
        <v/>
      </c>
      <c r="D38" s="32">
        <f>Assumptions!D67</f>
        <v/>
      </c>
      <c r="E38" s="32">
        <f>Assumptions!E67</f>
        <v/>
      </c>
      <c r="F38" s="32">
        <f>Assumptions!F67</f>
        <v/>
      </c>
      <c r="G38" s="32">
        <f>Assumptions!G67</f>
        <v/>
      </c>
      <c r="H38" s="32">
        <f>Assumptions!H67</f>
        <v/>
      </c>
      <c r="I38" s="32">
        <f>Assumptions!I67</f>
        <v/>
      </c>
      <c r="J38" s="32">
        <f>Assumptions!J67</f>
        <v/>
      </c>
      <c r="K38" s="32">
        <f>Assumptions!K67</f>
        <v/>
      </c>
      <c r="L38" s="32">
        <f>Assumptions!L67</f>
        <v/>
      </c>
    </row>
    <row r="40">
      <c r="A40" s="6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5">
        <f>IF(C7=0,0,1/C7)</f>
        <v/>
      </c>
      <c r="D8" s="65">
        <f>IF(D7=0,0,1/D7)</f>
        <v/>
      </c>
      <c r="E8" s="65">
        <f>IF(E7=0,0,1/E7)</f>
        <v/>
      </c>
      <c r="F8" s="65">
        <f>IF(F7=0,0,1/F7)</f>
        <v/>
      </c>
      <c r="G8" s="65">
        <f>IF(G7=0,0,1/G7)</f>
        <v/>
      </c>
      <c r="H8" s="65">
        <f>IF(H7=0,0,1/H7)</f>
        <v/>
      </c>
      <c r="I8" s="65">
        <f>IF(I7=0,0,1/I7)</f>
        <v/>
      </c>
      <c r="J8" s="65">
        <f>IF(J7=0,0,1/J7)</f>
        <v/>
      </c>
      <c r="K8" s="65">
        <f>IF(K7=0,0,1/K7)</f>
        <v/>
      </c>
      <c r="L8" s="65">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61">
        <f>IF(C6=0,0,C11/C6)</f>
        <v/>
      </c>
      <c r="D12" s="61">
        <f>IF(D6=0,0,D11/D6)</f>
        <v/>
      </c>
      <c r="E12" s="61">
        <f>IF(E6=0,0,E11/E6)</f>
        <v/>
      </c>
      <c r="F12" s="61">
        <f>IF(F6=0,0,F11/F6)</f>
        <v/>
      </c>
      <c r="G12" s="61">
        <f>IF(G6=0,0,G11/G6)</f>
        <v/>
      </c>
      <c r="H12" s="61">
        <f>IF(H6=0,0,H11/H6)</f>
        <v/>
      </c>
      <c r="I12" s="61">
        <f>IF(I6=0,0,I11/I6)</f>
        <v/>
      </c>
      <c r="J12" s="61">
        <f>IF(J6=0,0,J11/J6)</f>
        <v/>
      </c>
      <c r="K12" s="61">
        <f>IF(K6=0,0,K11/K6)</f>
        <v/>
      </c>
      <c r="L12" s="61">
        <f>IF(L6=0,0,L11/L6)</f>
        <v/>
      </c>
    </row>
    <row r="13">
      <c r="A13" s="15" t="inlineStr">
        <is>
          <t>CAC payback</t>
        </is>
      </c>
      <c r="B13" s="16" t="inlineStr">
        <is>
          <t>months</t>
        </is>
      </c>
      <c r="C13" s="66">
        <f>IF(C10&lt;=0,0,12*C6/C10)</f>
        <v/>
      </c>
      <c r="D13" s="66">
        <f>IF(D10&lt;=0,0,12*D6/D10)</f>
        <v/>
      </c>
      <c r="E13" s="66">
        <f>IF(E10&lt;=0,0,12*E6/E10)</f>
        <v/>
      </c>
      <c r="F13" s="66">
        <f>IF(F10&lt;=0,0,12*F6/F10)</f>
        <v/>
      </c>
      <c r="G13" s="66">
        <f>IF(G10&lt;=0,0,12*G6/G10)</f>
        <v/>
      </c>
      <c r="H13" s="66">
        <f>IF(H10&lt;=0,0,12*H6/H10)</f>
        <v/>
      </c>
      <c r="I13" s="66">
        <f>IF(I10&lt;=0,0,12*I6/I10)</f>
        <v/>
      </c>
      <c r="J13" s="66">
        <f>IF(J10&lt;=0,0,12*J6/J10)</f>
        <v/>
      </c>
      <c r="K13" s="66">
        <f>IF(K10&lt;=0,0,12*K6/K10)</f>
        <v/>
      </c>
      <c r="L13" s="66">
        <f>IF(L10&lt;=0,0,12*L6/L10)</f>
        <v/>
      </c>
    </row>
    <row r="15">
      <c r="A15" s="64"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7"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8">
        <f>C21-C22-C23</f>
        <v/>
      </c>
      <c r="D24" s="68">
        <f>D21-D22-D23</f>
        <v/>
      </c>
      <c r="E24" s="68">
        <f>E21-E22-E23</f>
        <v/>
      </c>
      <c r="F24" s="68">
        <f>F21-F22-F23</f>
        <v/>
      </c>
      <c r="G24" s="68">
        <f>G21-G22-G23</f>
        <v/>
      </c>
      <c r="H24" s="68">
        <f>H21-H22-H23</f>
        <v/>
      </c>
      <c r="I24" s="68">
        <f>I21-I22-I23</f>
        <v/>
      </c>
      <c r="J24" s="68">
        <f>J21-J22-J23</f>
        <v/>
      </c>
      <c r="K24" s="68">
        <f>K21-K22-K23</f>
        <v/>
      </c>
      <c r="L24" s="68">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6">
        <f>IF(C25=0,0,1/C25)</f>
        <v/>
      </c>
      <c r="D26" s="66">
        <f>IF(D25=0,0,1/D25)</f>
        <v/>
      </c>
      <c r="E26" s="66">
        <f>IF(E25=0,0,1/E25)</f>
        <v/>
      </c>
      <c r="F26" s="66">
        <f>IF(F25=0,0,1/F25)</f>
        <v/>
      </c>
      <c r="G26" s="66">
        <f>IF(G25=0,0,1/G25)</f>
        <v/>
      </c>
      <c r="H26" s="66">
        <f>IF(H25=0,0,1/H25)</f>
        <v/>
      </c>
      <c r="I26" s="66">
        <f>IF(I25=0,0,1/I25)</f>
        <v/>
      </c>
      <c r="J26" s="66">
        <f>IF(J25=0,0,1/J25)</f>
        <v/>
      </c>
      <c r="K26" s="66">
        <f>IF(K25=0,0,1/K25)</f>
        <v/>
      </c>
      <c r="L26" s="66">
        <f>IF(L25=0,0,1/L25)</f>
        <v/>
      </c>
    </row>
    <row r="27">
      <c r="A27" s="48" t="inlineStr">
        <is>
          <t>FAN LTV</t>
        </is>
      </c>
      <c r="B27" s="41" t="inlineStr">
        <is>
          <t>EUR</t>
        </is>
      </c>
      <c r="C27" s="69">
        <f>C24*C26</f>
        <v/>
      </c>
      <c r="D27" s="69">
        <f>D24*D26</f>
        <v/>
      </c>
      <c r="E27" s="69">
        <f>E24*E26</f>
        <v/>
      </c>
      <c r="F27" s="69">
        <f>F24*F26</f>
        <v/>
      </c>
      <c r="G27" s="69">
        <f>G24*G26</f>
        <v/>
      </c>
      <c r="H27" s="69">
        <f>H24*H26</f>
        <v/>
      </c>
      <c r="I27" s="69">
        <f>I24*I26</f>
        <v/>
      </c>
      <c r="J27" s="69">
        <f>J24*J26</f>
        <v/>
      </c>
      <c r="K27" s="69">
        <f>K24*K26</f>
        <v/>
      </c>
      <c r="L27" s="69">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4"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60">
        <f>IF(C37&lt;=0,0,12*C33/C37)</f>
        <v/>
      </c>
      <c r="D38" s="60">
        <f>IF(D37&lt;=0,0,12*D33/D37)</f>
        <v/>
      </c>
      <c r="E38" s="60">
        <f>IF(E37&lt;=0,0,12*E33/E37)</f>
        <v/>
      </c>
      <c r="F38" s="60">
        <f>IF(F37&lt;=0,0,12*F33/F37)</f>
        <v/>
      </c>
      <c r="G38" s="60">
        <f>IF(G37&lt;=0,0,12*G33/G37)</f>
        <v/>
      </c>
      <c r="H38" s="60">
        <f>IF(H37&lt;=0,0,12*H33/H37)</f>
        <v/>
      </c>
      <c r="I38" s="60">
        <f>IF(I37&lt;=0,0,12*I33/I37)</f>
        <v/>
      </c>
      <c r="J38" s="60">
        <f>IF(J37&lt;=0,0,12*J33/J37)</f>
        <v/>
      </c>
      <c r="K38" s="60">
        <f>IF(K37&lt;=0,0,12*K33/K37)</f>
        <v/>
      </c>
      <c r="L38" s="60">
        <f>IF(L37&lt;=0,0,12*L33/L37)</f>
        <v/>
      </c>
    </row>
    <row r="40">
      <c r="A40" s="64"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0"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15209.65213450907</v>
      </c>
      <c r="D5" s="24" t="n">
        <v>78186.9800289897</v>
      </c>
      <c r="E5" s="24" t="n">
        <v>288002.6712945602</v>
      </c>
      <c r="F5" s="24" t="n">
        <v>703679.007100631</v>
      </c>
      <c r="G5" s="24" t="n">
        <v>1321353.147539588</v>
      </c>
      <c r="H5" s="24" t="n">
        <v>2124049.313694932</v>
      </c>
      <c r="I5" s="24" t="n">
        <v>3013163.386035815</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71">
        <f>ROUND(C6-C5,0)</f>
        <v/>
      </c>
      <c r="D7" s="71">
        <f>ROUND(D6-D5,0)</f>
        <v/>
      </c>
      <c r="E7" s="71">
        <f>ROUND(E6-E5,0)</f>
        <v/>
      </c>
      <c r="F7" s="71">
        <f>ROUND(F6-F5,0)</f>
        <v/>
      </c>
      <c r="G7" s="71">
        <f>ROUND(G6-G5,0)</f>
        <v/>
      </c>
      <c r="H7" s="71">
        <f>ROUND(H6-H5,0)</f>
        <v/>
      </c>
      <c r="I7" s="71">
        <f>ROUND(I6-I5,0)</f>
        <v/>
      </c>
      <c r="J7" s="71">
        <f>ROUND(J6-J5,0)</f>
        <v/>
      </c>
      <c r="K7" s="71">
        <f>ROUND(K6-K5,0)</f>
        <v/>
      </c>
      <c r="L7" s="71">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8788.279804347037</v>
      </c>
      <c r="D10" s="24" t="n">
        <v>35884.10661722298</v>
      </c>
      <c r="E10" s="24" t="n">
        <v>107180.4277627578</v>
      </c>
      <c r="F10" s="24" t="n">
        <v>235202.2755595208</v>
      </c>
      <c r="G10" s="24" t="n">
        <v>421379.4560848573</v>
      </c>
      <c r="H10" s="24" t="n">
        <v>658989.9166519806</v>
      </c>
      <c r="I10" s="24" t="n">
        <v>923988.6616917688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71">
        <f>ROUND(C11-C10,0)</f>
        <v/>
      </c>
      <c r="D12" s="71">
        <f>ROUND(D11-D10,0)</f>
        <v/>
      </c>
      <c r="E12" s="71">
        <f>ROUND(E11-E10,0)</f>
        <v/>
      </c>
      <c r="F12" s="71">
        <f>ROUND(F11-F10,0)</f>
        <v/>
      </c>
      <c r="G12" s="71">
        <f>ROUND(G11-G10,0)</f>
        <v/>
      </c>
      <c r="H12" s="71">
        <f>ROUND(H11-H10,0)</f>
        <v/>
      </c>
      <c r="I12" s="71">
        <f>ROUND(I11-I10,0)</f>
        <v/>
      </c>
      <c r="J12" s="71">
        <f>ROUND(J11-J10,0)</f>
        <v/>
      </c>
      <c r="K12" s="71">
        <f>ROUND(K11-K10,0)</f>
        <v/>
      </c>
      <c r="L12" s="71">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6421.372330162036</v>
      </c>
      <c r="D15" s="24" t="n">
        <v>42302.87341176671</v>
      </c>
      <c r="E15" s="24" t="n">
        <v>180822.2435318024</v>
      </c>
      <c r="F15" s="24" t="n">
        <v>468476.7315411102</v>
      </c>
      <c r="G15" s="24" t="n">
        <v>899973.6914547306</v>
      </c>
      <c r="H15" s="24" t="n">
        <v>1465059.397042952</v>
      </c>
      <c r="I15" s="24" t="n">
        <v>2089174.724344046</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71">
        <f>ROUND(C16-C15,0)</f>
        <v/>
      </c>
      <c r="D17" s="71">
        <f>ROUND(D16-D15,0)</f>
        <v/>
      </c>
      <c r="E17" s="71">
        <f>ROUND(E16-E15,0)</f>
        <v/>
      </c>
      <c r="F17" s="71">
        <f>ROUND(F16-F15,0)</f>
        <v/>
      </c>
      <c r="G17" s="71">
        <f>ROUND(G16-G15,0)</f>
        <v/>
      </c>
      <c r="H17" s="71">
        <f>ROUND(H16-H15,0)</f>
        <v/>
      </c>
      <c r="I17" s="71">
        <f>ROUND(I16-I15,0)</f>
        <v/>
      </c>
      <c r="J17" s="71">
        <f>ROUND(J16-J15,0)</f>
        <v/>
      </c>
      <c r="K17" s="71">
        <f>ROUND(K16-K15,0)</f>
        <v/>
      </c>
      <c r="L17" s="71">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77716.77217076073</v>
      </c>
      <c r="D20" s="24" t="n">
        <v>153773.2084023192</v>
      </c>
      <c r="E20" s="24" t="n">
        <v>320381.8137035648</v>
      </c>
      <c r="F20" s="24" t="n">
        <v>554399.1205680504</v>
      </c>
      <c r="G20" s="24" t="n">
        <v>882757.851803167</v>
      </c>
      <c r="H20" s="24" t="n">
        <v>1225415.145095594</v>
      </c>
      <c r="I20" s="24" t="n">
        <v>1554635.070882865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71">
        <f>ROUND(C21-C20,0)</f>
        <v/>
      </c>
      <c r="D22" s="71">
        <f>ROUND(D21-D20,0)</f>
        <v/>
      </c>
      <c r="E22" s="71">
        <f>ROUND(E21-E20,0)</f>
        <v/>
      </c>
      <c r="F22" s="71">
        <f>ROUND(F21-F20,0)</f>
        <v/>
      </c>
      <c r="G22" s="71">
        <f>ROUND(G21-G20,0)</f>
        <v/>
      </c>
      <c r="H22" s="71">
        <f>ROUND(H21-H20,0)</f>
        <v/>
      </c>
      <c r="I22" s="71">
        <f>ROUND(I21-I20,0)</f>
        <v/>
      </c>
      <c r="J22" s="71">
        <f>ROUND(J21-J20,0)</f>
        <v/>
      </c>
      <c r="K22" s="71">
        <f>ROUND(K21-K20,0)</f>
        <v/>
      </c>
      <c r="L22" s="71">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-71295.39984059869</v>
      </c>
      <c r="D25" s="24" t="n">
        <v>-111470.3349905525</v>
      </c>
      <c r="E25" s="24" t="n">
        <v>-139559.5701717624</v>
      </c>
      <c r="F25" s="24" t="n">
        <v>-85922.38902694022</v>
      </c>
      <c r="G25" s="24" t="n">
        <v>17215.83965156355</v>
      </c>
      <c r="H25" s="24" t="n">
        <v>239644.2519473576</v>
      </c>
      <c r="I25" s="24" t="n">
        <v>534539.6534611809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71">
        <f>ROUND(C26-C25,0)</f>
        <v/>
      </c>
      <c r="D27" s="71">
        <f>ROUND(D26-D25,0)</f>
        <v/>
      </c>
      <c r="E27" s="71">
        <f>ROUND(E26-E25,0)</f>
        <v/>
      </c>
      <c r="F27" s="71">
        <f>ROUND(F26-F25,0)</f>
        <v/>
      </c>
      <c r="G27" s="71">
        <f>ROUND(G26-G25,0)</f>
        <v/>
      </c>
      <c r="H27" s="71">
        <f>ROUND(H26-H25,0)</f>
        <v/>
      </c>
      <c r="I27" s="71">
        <f>ROUND(I26-I25,0)</f>
        <v/>
      </c>
      <c r="J27" s="71">
        <f>ROUND(J26-J25,0)</f>
        <v/>
      </c>
      <c r="K27" s="71">
        <f>ROUND(K26-K25,0)</f>
        <v/>
      </c>
      <c r="L27" s="71">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1286.151087758587</v>
      </c>
      <c r="D30" s="17" t="n">
        <v>5092.646841736267</v>
      </c>
      <c r="E30" s="17" t="n">
        <v>14334.42936888351</v>
      </c>
      <c r="F30" s="17" t="n">
        <v>28169.28576456208</v>
      </c>
      <c r="G30" s="17" t="n">
        <v>46066.06447500147</v>
      </c>
      <c r="H30" s="17" t="n">
        <v>67882.20782167294</v>
      </c>
      <c r="I30" s="17" t="n">
        <v>92005.20000000001</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72">
        <f>ROUND(C31-C30,0)</f>
        <v/>
      </c>
      <c r="D32" s="72">
        <f>ROUND(D31-D30,0)</f>
        <v/>
      </c>
      <c r="E32" s="72">
        <f>ROUND(E31-E30,0)</f>
        <v/>
      </c>
      <c r="F32" s="72">
        <f>ROUND(F31-F30,0)</f>
        <v/>
      </c>
      <c r="G32" s="72">
        <f>ROUND(G31-G30,0)</f>
        <v/>
      </c>
      <c r="H32" s="72">
        <f>ROUND(H31-H30,0)</f>
        <v/>
      </c>
      <c r="I32" s="72">
        <f>ROUND(I31-I30,0)</f>
        <v/>
      </c>
      <c r="J32" s="72">
        <f>ROUND(J31-J30,0)</f>
        <v/>
      </c>
      <c r="K32" s="72">
        <f>ROUND(K31-K30,0)</f>
        <v/>
      </c>
      <c r="L32" s="72">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816.010230758603</v>
      </c>
      <c r="D35" s="17" t="n">
        <v>3685.701513762201</v>
      </c>
      <c r="E35" s="17" t="n">
        <v>10913.21808130112</v>
      </c>
      <c r="F35" s="17" t="n">
        <v>23047.08309296033</v>
      </c>
      <c r="G35" s="17" t="n">
        <v>39464.36338620399</v>
      </c>
      <c r="H35" s="17" t="n">
        <v>59832.18166912212</v>
      </c>
      <c r="I35" s="17" t="n">
        <v>82914.56519122265</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72">
        <f>ROUND(C36-C35,0)</f>
        <v/>
      </c>
      <c r="D37" s="72">
        <f>ROUND(D36-D35,0)</f>
        <v/>
      </c>
      <c r="E37" s="72">
        <f>ROUND(E36-E35,0)</f>
        <v/>
      </c>
      <c r="F37" s="72">
        <f>ROUND(F36-F35,0)</f>
        <v/>
      </c>
      <c r="G37" s="72">
        <f>ROUND(G36-G35,0)</f>
        <v/>
      </c>
      <c r="H37" s="72">
        <f>ROUND(H36-H35,0)</f>
        <v/>
      </c>
      <c r="I37" s="72">
        <f>ROUND(I36-I35,0)</f>
        <v/>
      </c>
      <c r="J37" s="72">
        <f>ROUND(J36-J35,0)</f>
        <v/>
      </c>
      <c r="K37" s="72">
        <f>ROUND(K36-K35,0)</f>
        <v/>
      </c>
      <c r="L37" s="72">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103849.7308967272</v>
      </c>
      <c r="D40" s="24" t="n">
        <v>506193.5751265979</v>
      </c>
      <c r="E40" s="24" t="n">
        <v>1751195.741743291</v>
      </c>
      <c r="F40" s="24" t="n">
        <v>4330016.769991406</v>
      </c>
      <c r="G40" s="24" t="n">
        <v>8521278.947970588</v>
      </c>
      <c r="H40" s="24" t="n">
        <v>14372383.76169955</v>
      </c>
      <c r="I40" s="24" t="n">
        <v>20940263.82626543</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71">
        <f>ROUND(C41-C40,0)</f>
        <v/>
      </c>
      <c r="D42" s="71">
        <f>ROUND(D41-D40,0)</f>
        <v/>
      </c>
      <c r="E42" s="71">
        <f>ROUND(E41-E40,0)</f>
        <v/>
      </c>
      <c r="F42" s="71">
        <f>ROUND(F41-F40,0)</f>
        <v/>
      </c>
      <c r="G42" s="71">
        <f>ROUND(G41-G40,0)</f>
        <v/>
      </c>
      <c r="H42" s="71">
        <f>ROUND(H41-H40,0)</f>
        <v/>
      </c>
      <c r="I42" s="71">
        <f>ROUND(I41-I40,0)</f>
        <v/>
      </c>
      <c r="J42" s="71">
        <f>ROUND(J41-J40,0)</f>
        <v/>
      </c>
      <c r="K42" s="71">
        <f>ROUND(K41-K40,0)</f>
        <v/>
      </c>
      <c r="L42" s="71">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72">
        <f>ROUND(C46-C45,0)</f>
        <v/>
      </c>
      <c r="D47" s="72">
        <f>ROUND(D46-D45,0)</f>
        <v/>
      </c>
      <c r="E47" s="72">
        <f>ROUND(E46-E45,0)</f>
        <v/>
      </c>
      <c r="F47" s="72">
        <f>ROUND(F46-F45,0)</f>
        <v/>
      </c>
      <c r="G47" s="72">
        <f>ROUND(G46-G45,0)</f>
        <v/>
      </c>
      <c r="H47" s="72">
        <f>ROUND(H46-H45,0)</f>
        <v/>
      </c>
      <c r="I47" s="72">
        <f>ROUND(I46-I45,0)</f>
        <v/>
      </c>
      <c r="J47" s="72">
        <f>ROUND(J46-J45,0)</f>
        <v/>
      </c>
      <c r="K47" s="72">
        <f>ROUND(K46-K45,0)</f>
        <v/>
      </c>
      <c r="L47" s="72">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72">
        <f>ROUND(C51-C50,0)</f>
        <v/>
      </c>
      <c r="D52" s="72">
        <f>ROUND(D51-D50,0)</f>
        <v/>
      </c>
      <c r="E52" s="72">
        <f>ROUND(E51-E50,0)</f>
        <v/>
      </c>
      <c r="F52" s="72">
        <f>ROUND(F51-F50,0)</f>
        <v/>
      </c>
      <c r="G52" s="72">
        <f>ROUND(G51-G50,0)</f>
        <v/>
      </c>
      <c r="H52" s="72">
        <f>ROUND(H51-H50,0)</f>
        <v/>
      </c>
      <c r="I52" s="72">
        <f>ROUND(I51-I50,0)</f>
        <v/>
      </c>
      <c r="J52" s="72">
        <f>ROUND(J51-J50,0)</f>
        <v/>
      </c>
      <c r="K52" s="72">
        <f>ROUND(K51-K50,0)</f>
        <v/>
      </c>
      <c r="L52" s="72">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71">
        <f>ROUND(C56-C55,0)</f>
        <v/>
      </c>
      <c r="D57" s="71">
        <f>ROUND(D56-D55,0)</f>
        <v/>
      </c>
      <c r="E57" s="71">
        <f>ROUND(E56-E55,0)</f>
        <v/>
      </c>
      <c r="F57" s="71">
        <f>ROUND(F56-F55,0)</f>
        <v/>
      </c>
      <c r="G57" s="71">
        <f>ROUND(G56-G55,0)</f>
        <v/>
      </c>
      <c r="H57" s="71">
        <f>ROUND(H56-H55,0)</f>
        <v/>
      </c>
      <c r="I57" s="71">
        <f>ROUND(I56-I55,0)</f>
        <v/>
      </c>
      <c r="J57" s="71">
        <f>ROUND(J56-J55,0)</f>
        <v/>
      </c>
      <c r="K57" s="71">
        <f>ROUND(K56-K55,0)</f>
        <v/>
      </c>
      <c r="L57" s="71">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6952.807654537234</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71">
        <f>ROUND(C61-C60,0)</f>
        <v/>
      </c>
      <c r="D62" s="71">
        <f>ROUND(D61-D60,0)</f>
        <v/>
      </c>
      <c r="E62" s="71">
        <f>ROUND(E61-E60,0)</f>
        <v/>
      </c>
      <c r="F62" s="71">
        <f>ROUND(F61-F60,0)</f>
        <v/>
      </c>
      <c r="G62" s="71">
        <f>ROUND(G61-G60,0)</f>
        <v/>
      </c>
      <c r="H62" s="71">
        <f>ROUND(H61-H60,0)</f>
        <v/>
      </c>
      <c r="I62" s="71">
        <f>ROUND(I61-I60,0)</f>
        <v/>
      </c>
      <c r="J62" s="71">
        <f>ROUND(J61-J60,0)</f>
        <v/>
      </c>
      <c r="K62" s="71">
        <f>ROUND(K61-K60,0)</f>
        <v/>
      </c>
      <c r="L62" s="71">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-75095.39984059869</v>
      </c>
      <c r="D65" s="24" t="n">
        <v>-120470.3349905525</v>
      </c>
      <c r="E65" s="24" t="n">
        <v>-157559.5701717624</v>
      </c>
      <c r="F65" s="24" t="n">
        <v>-112922.3890269402</v>
      </c>
      <c r="G65" s="24" t="n">
        <v>-30984.16034843645</v>
      </c>
      <c r="H65" s="24" t="n">
        <v>152844.2519473576</v>
      </c>
      <c r="I65" s="24" t="n">
        <v>383586.8458066436</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71">
        <f>ROUND(C66-C65,0)</f>
        <v/>
      </c>
      <c r="D67" s="71">
        <f>ROUND(D66-D65,0)</f>
        <v/>
      </c>
      <c r="E67" s="71">
        <f>ROUND(E66-E65,0)</f>
        <v/>
      </c>
      <c r="F67" s="71">
        <f>ROUND(F66-F65,0)</f>
        <v/>
      </c>
      <c r="G67" s="71">
        <f>ROUND(G66-G65,0)</f>
        <v/>
      </c>
      <c r="H67" s="71">
        <f>ROUND(H66-H65,0)</f>
        <v/>
      </c>
      <c r="I67" s="71">
        <f>ROUND(I66-I65,0)</f>
        <v/>
      </c>
      <c r="J67" s="71">
        <f>ROUND(J66-J65,0)</f>
        <v/>
      </c>
      <c r="K67" s="71">
        <f>ROUND(K66-K65,0)</f>
        <v/>
      </c>
      <c r="L67" s="71">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-71552.95944772632</v>
      </c>
      <c r="D70" s="24" t="n">
        <v>-103369.3973795417</v>
      </c>
      <c r="E70" s="24" t="n">
        <v>-105070.5356489066</v>
      </c>
      <c r="F70" s="24" t="n">
        <v>-12309.89736107869</v>
      </c>
      <c r="G70" s="24" t="n">
        <v>113157.2481145281</v>
      </c>
      <c r="H70" s="24" t="n">
        <v>329870.0623134766</v>
      </c>
      <c r="I70" s="24" t="n">
        <v>577578.3683435448</v>
      </c>
      <c r="J70" s="24" t="n">
        <v>732667.1546823786</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71">
        <f>ROUND(C71-C70,0)</f>
        <v/>
      </c>
      <c r="D72" s="71">
        <f>ROUND(D71-D70,0)</f>
        <v/>
      </c>
      <c r="E72" s="71">
        <f>ROUND(E71-E70,0)</f>
        <v/>
      </c>
      <c r="F72" s="71">
        <f>ROUND(F71-F70,0)</f>
        <v/>
      </c>
      <c r="G72" s="71">
        <f>ROUND(G71-G70,0)</f>
        <v/>
      </c>
      <c r="H72" s="71">
        <f>ROUND(H71-H70,0)</f>
        <v/>
      </c>
      <c r="I72" s="71">
        <f>ROUND(I71-I70,0)</f>
        <v/>
      </c>
      <c r="J72" s="71">
        <f>ROUND(J71-J70,0)</f>
        <v/>
      </c>
      <c r="K72" s="71">
        <f>ROUND(K71-K70,0)</f>
        <v/>
      </c>
      <c r="L72" s="71">
        <f>ROUND(L71-L70,0)</f>
        <v/>
      </c>
    </row>
    <row r="74">
      <c r="A74" s="2" t="inlineStr">
        <is>
          <t>Balance sheet check (from BalanceSheet, must be zero):</t>
        </is>
      </c>
    </row>
    <row r="75">
      <c r="A75" s="40" t="inlineStr">
        <is>
          <t xml:space="preserve">  Assets less liabilities and equity</t>
        </is>
      </c>
      <c r="B75" s="41" t="inlineStr">
        <is>
          <t>must be 0</t>
        </is>
      </c>
      <c r="C75" s="73">
        <f>BalanceSheet!C20</f>
        <v/>
      </c>
      <c r="D75" s="73">
        <f>BalanceSheet!D20</f>
        <v/>
      </c>
      <c r="E75" s="73">
        <f>BalanceSheet!E20</f>
        <v/>
      </c>
      <c r="F75" s="73">
        <f>BalanceSheet!F20</f>
        <v/>
      </c>
      <c r="G75" s="73">
        <f>BalanceSheet!G20</f>
        <v/>
      </c>
      <c r="H75" s="73">
        <f>BalanceSheet!H20</f>
        <v/>
      </c>
      <c r="I75" s="73">
        <f>BalanceSheet!I20</f>
        <v/>
      </c>
      <c r="J75" s="73">
        <f>BalanceSheet!J20</f>
        <v/>
      </c>
      <c r="K75" s="73">
        <f>BalanceSheet!K20</f>
        <v/>
      </c>
      <c r="L75" s="73">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9"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4" t="inlineStr">
        <is>
          <t>Metric</t>
        </is>
      </c>
      <c r="B4" s="74" t="inlineStr">
        <is>
          <t>Value</t>
        </is>
      </c>
      <c r="C4" s="74" t="inlineStr">
        <is>
          <t>Unit</t>
        </is>
      </c>
      <c r="D4" s="74" t="inlineStr">
        <is>
          <t>Platform</t>
        </is>
      </c>
      <c r="E4" s="74" t="inlineStr">
        <is>
          <t>Period</t>
        </is>
      </c>
      <c r="F4" s="74" t="inlineStr">
        <is>
          <t>Source</t>
        </is>
      </c>
    </row>
    <row r="5">
      <c r="A5" s="75" t="inlineStr">
        <is>
          <t>Gross payments (GMV)</t>
        </is>
      </c>
      <c r="B5" s="76" t="n">
        <v>7220000000</v>
      </c>
      <c r="C5" s="77" t="inlineStr">
        <is>
          <t>USD</t>
        </is>
      </c>
      <c r="D5" s="77" t="inlineStr">
        <is>
          <t>OnlyFans</t>
        </is>
      </c>
      <c r="E5" s="77" t="inlineStr">
        <is>
          <t>FY2024</t>
        </is>
      </c>
      <c r="F5" s="77" t="inlineStr">
        <is>
          <t>Fenix International Ltd filed accounts (Companies House 10354575)</t>
        </is>
      </c>
    </row>
    <row r="6">
      <c r="A6" s="75" t="inlineStr">
        <is>
          <t>Net revenue</t>
        </is>
      </c>
      <c r="B6" s="76" t="n">
        <v>1410000000</v>
      </c>
      <c r="C6" s="77" t="inlineStr">
        <is>
          <t>USD</t>
        </is>
      </c>
      <c r="D6" s="77" t="inlineStr">
        <is>
          <t>OnlyFans</t>
        </is>
      </c>
      <c r="E6" s="77" t="inlineStr">
        <is>
          <t>FY2024</t>
        </is>
      </c>
      <c r="F6" s="77" t="inlineStr">
        <is>
          <t>Fenix International Ltd filed accounts (Companies House 10354575)</t>
        </is>
      </c>
    </row>
    <row r="7">
      <c r="A7" s="75" t="inlineStr">
        <is>
          <t>Paid to creators</t>
        </is>
      </c>
      <c r="B7" s="76" t="n">
        <v>5800000000</v>
      </c>
      <c r="C7" s="77" t="inlineStr">
        <is>
          <t>USD</t>
        </is>
      </c>
      <c r="D7" s="77" t="inlineStr">
        <is>
          <t>OnlyFans</t>
        </is>
      </c>
      <c r="E7" s="77" t="inlineStr">
        <is>
          <t>FY2024</t>
        </is>
      </c>
      <c r="F7" s="77" t="inlineStr">
        <is>
          <t>Fenix International Ltd filed accounts, 80.3% of gross</t>
        </is>
      </c>
    </row>
    <row r="8">
      <c r="A8" s="75" t="inlineStr">
        <is>
          <t>Creator accounts</t>
        </is>
      </c>
      <c r="B8" s="76" t="n">
        <v>4634000</v>
      </c>
      <c r="C8" s="77" t="inlineStr">
        <is>
          <t>count</t>
        </is>
      </c>
      <c r="D8" s="77" t="inlineStr">
        <is>
          <t>OnlyFans</t>
        </is>
      </c>
      <c r="E8" s="77" t="inlineStr">
        <is>
          <t>FY2024</t>
        </is>
      </c>
      <c r="F8" s="77" t="inlineStr">
        <is>
          <t>Variety: +13% YoY</t>
        </is>
      </c>
    </row>
    <row r="9">
      <c r="A9" s="75" t="inlineStr">
        <is>
          <t>Fan accounts</t>
        </is>
      </c>
      <c r="B9" s="76" t="n">
        <v>377500000</v>
      </c>
      <c r="C9" s="77" t="inlineStr">
        <is>
          <t>count</t>
        </is>
      </c>
      <c r="D9" s="77" t="inlineStr">
        <is>
          <t>OnlyFans</t>
        </is>
      </c>
      <c r="E9" s="77" t="inlineStr">
        <is>
          <t>FY2024</t>
        </is>
      </c>
      <c r="F9" s="77" t="inlineStr">
        <is>
          <t>Variety: +24% YoY</t>
        </is>
      </c>
    </row>
    <row r="10">
      <c r="A10" s="75" t="inlineStr">
        <is>
          <t>Reported average creator earnings</t>
        </is>
      </c>
      <c r="B10" s="76" t="n">
        <v>131</v>
      </c>
      <c r="C10" s="77" t="inlineStr">
        <is>
          <t>USD/month</t>
        </is>
      </c>
      <c r="D10" s="77" t="inlineStr">
        <is>
          <t>OnlyFans</t>
        </is>
      </c>
      <c r="E10" s="77" t="inlineStr">
        <is>
          <t>FY2024</t>
        </is>
      </c>
      <c r="F10" s="77" t="inlineStr">
        <is>
          <t>Sci-Tech Today / ElectroIQ: after platform fees</t>
        </is>
      </c>
    </row>
    <row r="11">
      <c r="A11" s="75" t="inlineStr">
        <is>
          <t>Revenue concentration</t>
        </is>
      </c>
      <c r="B11" s="78" t="n">
        <v>0.76</v>
      </c>
      <c r="C11" s="77" t="inlineStr">
        <is>
          <t>share to top 0.1%</t>
        </is>
      </c>
      <c r="D11" s="77" t="inlineStr">
        <is>
          <t>OnlyFans</t>
        </is>
      </c>
      <c r="E11" s="77" t="inlineStr">
        <is>
          <t>2025</t>
        </is>
      </c>
      <c r="F11" s="77" t="inlineStr">
        <is>
          <t>ElectroIQ: power-law distribution</t>
        </is>
      </c>
    </row>
    <row r="12">
      <c r="A12" s="75" t="inlineStr">
        <is>
          <t>Creators with &gt;=1 paying member</t>
        </is>
      </c>
      <c r="B12" s="76" t="n">
        <v>286287</v>
      </c>
      <c r="C12" s="77" t="inlineStr">
        <is>
          <t>count</t>
        </is>
      </c>
      <c r="D12" s="77" t="inlineStr">
        <is>
          <t>Patreon</t>
        </is>
      </c>
      <c r="E12" s="77" t="inlineStr">
        <is>
          <t>Feb 2026</t>
        </is>
      </c>
      <c r="F12" s="77" t="inlineStr">
        <is>
          <t>Graphtreon</t>
        </is>
      </c>
    </row>
    <row r="13">
      <c r="A13" s="75" t="inlineStr">
        <is>
          <t>Active creators</t>
        </is>
      </c>
      <c r="B13" s="76" t="n">
        <v>300000</v>
      </c>
      <c r="C13" s="77" t="inlineStr">
        <is>
          <t>count</t>
        </is>
      </c>
      <c r="D13" s="77" t="inlineStr">
        <is>
          <t>Patreon</t>
        </is>
      </c>
      <c r="E13" s="77" t="inlineStr">
        <is>
          <t>2025</t>
        </is>
      </c>
      <c r="F13" s="77" t="inlineStr">
        <is>
          <t>Jack Conte, Patreon</t>
        </is>
      </c>
    </row>
    <row r="14">
      <c r="A14" s="75" t="inlineStr">
        <is>
          <t>Active paying members</t>
        </is>
      </c>
      <c r="B14" s="76" t="n">
        <v>10000000</v>
      </c>
      <c r="C14" s="77" t="inlineStr">
        <is>
          <t>count</t>
        </is>
      </c>
      <c r="D14" s="77" t="inlineStr">
        <is>
          <t>Patreon</t>
        </is>
      </c>
      <c r="E14" s="77" t="inlineStr">
        <is>
          <t>2026</t>
        </is>
      </c>
      <c r="F14" s="77" t="inlineStr">
        <is>
          <t>Patreon / Backlinko</t>
        </is>
      </c>
    </row>
    <row r="15">
      <c r="A15" s="75" t="inlineStr">
        <is>
          <t>Paid to creators annually</t>
        </is>
      </c>
      <c r="B15" s="76" t="n">
        <v>2000000000</v>
      </c>
      <c r="C15" s="77" t="inlineStr">
        <is>
          <t>USD/year</t>
        </is>
      </c>
      <c r="D15" s="77" t="inlineStr">
        <is>
          <t>Patreon</t>
        </is>
      </c>
      <c r="E15" s="77" t="inlineStr">
        <is>
          <t>2026</t>
        </is>
      </c>
      <c r="F15" s="77" t="inlineStr">
        <is>
          <t>Patreon / Backlinko</t>
        </is>
      </c>
    </row>
    <row r="16">
      <c r="A16" s="75" t="inlineStr">
        <is>
          <t>Average monthly support per member</t>
        </is>
      </c>
      <c r="B16" s="78" t="n">
        <v>6.1</v>
      </c>
      <c r="C16" s="77" t="inlineStr">
        <is>
          <t>USD/month</t>
        </is>
      </c>
      <c r="D16" s="77" t="inlineStr">
        <is>
          <t>Patreon</t>
        </is>
      </c>
      <c r="E16" s="77" t="inlineStr">
        <is>
          <t>Aug 2024</t>
        </is>
      </c>
      <c r="F16" s="77" t="inlineStr">
        <is>
          <t>Patreon 2024 Transparency Report; audit of ~1,200 creators</t>
        </is>
      </c>
    </row>
    <row r="17">
      <c r="A17" s="75" t="inlineStr">
        <is>
          <t>Typical patronage band (low)</t>
        </is>
      </c>
      <c r="B17" s="78" t="n">
        <v>8</v>
      </c>
      <c r="C17" s="77" t="inlineStr">
        <is>
          <t>USD/month</t>
        </is>
      </c>
      <c r="D17" s="77" t="inlineStr">
        <is>
          <t>Patreon</t>
        </is>
      </c>
      <c r="E17" s="77" t="inlineStr">
        <is>
          <t>2026</t>
        </is>
      </c>
      <c r="F17" s="77" t="inlineStr">
        <is>
          <t>Creator-economy benchmarks</t>
        </is>
      </c>
    </row>
    <row r="18">
      <c r="A18" s="75" t="inlineStr">
        <is>
          <t>Typical patronage band (high)</t>
        </is>
      </c>
      <c r="B18" s="78" t="n">
        <v>12</v>
      </c>
      <c r="C18" s="77" t="inlineStr">
        <is>
          <t>USD/month</t>
        </is>
      </c>
      <c r="D18" s="77" t="inlineStr">
        <is>
          <t>Patreon</t>
        </is>
      </c>
      <c r="E18" s="77" t="inlineStr">
        <is>
          <t>2026</t>
        </is>
      </c>
      <c r="F18" s="77" t="inlineStr">
        <is>
          <t>Creator-economy benchmarks</t>
        </is>
      </c>
    </row>
    <row r="19">
      <c r="A19" s="75" t="inlineStr">
        <is>
          <t>Monthly churn (low)</t>
        </is>
      </c>
      <c r="B19" s="78" t="n">
        <v>0.1</v>
      </c>
      <c r="C19" s="77" t="inlineStr">
        <is>
          <t>share</t>
        </is>
      </c>
      <c r="D19" s="77" t="inlineStr">
        <is>
          <t>Patreon</t>
        </is>
      </c>
      <c r="E19" s="77" t="inlineStr">
        <is>
          <t>2024</t>
        </is>
      </c>
      <c r="F19" s="77" t="inlineStr">
        <is>
          <t>Patreon 2024 Transparency Report</t>
        </is>
      </c>
    </row>
    <row r="20">
      <c r="A20" s="75" t="inlineStr">
        <is>
          <t>Monthly churn (high)</t>
        </is>
      </c>
      <c r="B20" s="78" t="n">
        <v>0.15</v>
      </c>
      <c r="C20" s="77" t="inlineStr">
        <is>
          <t>share</t>
        </is>
      </c>
      <c r="D20" s="77" t="inlineStr">
        <is>
          <t>Patreon</t>
        </is>
      </c>
      <c r="E20" s="77" t="inlineStr">
        <is>
          <t>2024</t>
        </is>
      </c>
      <c r="F20" s="77" t="inlineStr">
        <is>
          <t>Patreon 2024 Transparency Report</t>
        </is>
      </c>
    </row>
    <row r="21">
      <c r="A21" s="75" t="inlineStr">
        <is>
          <t>Annual-plan churn multiplier</t>
        </is>
      </c>
      <c r="B21" s="78" t="n">
        <v>0.333</v>
      </c>
      <c r="C21" s="77" t="inlineStr">
        <is>
          <t>x monthly churn</t>
        </is>
      </c>
      <c r="D21" s="77" t="inlineStr">
        <is>
          <t>Patreon</t>
        </is>
      </c>
      <c r="E21" s="77" t="inlineStr">
        <is>
          <t>2024</t>
        </is>
      </c>
      <c r="F21" s="77" t="inlineStr">
        <is>
          <t>Patreon 2024 Transparency Report: annual patrons churn at 1/3 the rate</t>
        </is>
      </c>
    </row>
    <row r="22">
      <c r="A22" s="75" t="inlineStr">
        <is>
          <t>Creators with &gt;2,000 patrons</t>
        </is>
      </c>
      <c r="B22" s="78" t="n">
        <v>0.003</v>
      </c>
      <c r="C22" s="77" t="inlineStr">
        <is>
          <t>share</t>
        </is>
      </c>
      <c r="D22" s="77" t="inlineStr">
        <is>
          <t>Patreon</t>
        </is>
      </c>
      <c r="E22" s="77" t="inlineStr">
        <is>
          <t>2026</t>
        </is>
      </c>
      <c r="F22" s="77" t="inlineStr">
        <is>
          <t>Graphtreon: power-law distribution</t>
        </is>
      </c>
    </row>
    <row r="23">
      <c r="A23" s="75" t="inlineStr">
        <is>
          <t>Division I athletes in network</t>
        </is>
      </c>
      <c r="B23" s="76" t="n">
        <v>45000</v>
      </c>
      <c r="C23" s="77" t="inlineStr">
        <is>
          <t>count</t>
        </is>
      </c>
      <c r="D23" s="77" t="inlineStr">
        <is>
          <t>TEKTA</t>
        </is>
      </c>
      <c r="E23" s="77" t="inlineStr">
        <is>
          <t>Aug 2026</t>
        </is>
      </c>
      <c r="F23" s="77" t="inlineStr">
        <is>
          <t>Publicis Groupe press release, 19 Aug 2026</t>
        </is>
      </c>
    </row>
    <row r="24">
      <c r="A24" s="75" t="inlineStr">
        <is>
          <t>Power Four universities</t>
        </is>
      </c>
      <c r="B24" s="76" t="n">
        <v>68</v>
      </c>
      <c r="C24" s="77" t="inlineStr">
        <is>
          <t>count</t>
        </is>
      </c>
      <c r="D24" s="77" t="inlineStr">
        <is>
          <t>TEKTA</t>
        </is>
      </c>
      <c r="E24" s="77" t="inlineStr">
        <is>
          <t>Aug 2026</t>
        </is>
      </c>
      <c r="F24" s="77" t="inlineStr">
        <is>
          <t>Publicis Groupe press release</t>
        </is>
      </c>
    </row>
    <row r="25">
      <c r="A25" s="75" t="inlineStr">
        <is>
          <t>Claimed speed-to-market gain</t>
        </is>
      </c>
      <c r="B25" s="78" t="n">
        <v>0.6</v>
      </c>
      <c r="C25" s="77" t="inlineStr">
        <is>
          <t>share faster</t>
        </is>
      </c>
      <c r="D25" s="77" t="inlineStr">
        <is>
          <t>TEKTA</t>
        </is>
      </c>
      <c r="E25" s="77" t="inlineStr">
        <is>
          <t>Aug 2026</t>
        </is>
      </c>
      <c r="F25" s="77" t="inlineStr">
        <is>
          <t>Publicis: stated 50-70% vs a traditional agency process</t>
        </is>
      </c>
    </row>
    <row r="27">
      <c r="A27" s="79"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80" t="n">
        <v>0.2</v>
      </c>
      <c r="C29" s="81" t="n">
        <v>0</v>
      </c>
      <c r="D29" s="81" t="n">
        <v>0</v>
      </c>
      <c r="F29" s="82" t="inlineStr">
        <is>
          <t>Derived: 1.41bn / 7.22bn = 19.5% (filed accounts)</t>
        </is>
      </c>
    </row>
    <row r="30">
      <c r="A30" s="2" t="inlineStr">
        <is>
          <t>Fansly</t>
        </is>
      </c>
      <c r="B30" s="80" t="n">
        <v>0.2</v>
      </c>
      <c r="C30" s="81" t="n">
        <v>0</v>
      </c>
      <c r="D30" s="81" t="n">
        <v>0</v>
      </c>
      <c r="F30" s="82" t="inlineStr">
        <is>
          <t>Not published in terms; widely reported</t>
        </is>
      </c>
    </row>
    <row r="31">
      <c r="A31" s="2" t="inlineStr">
        <is>
          <t>Fanfix</t>
        </is>
      </c>
      <c r="B31" s="80" t="n">
        <v>0.2</v>
      </c>
      <c r="C31" s="81" t="n">
        <v>0</v>
      </c>
      <c r="D31" s="81" t="n">
        <v>0</v>
      </c>
      <c r="F31" s="82" t="inlineStr">
        <is>
          <t>Not published in terms; widely reported</t>
        </is>
      </c>
    </row>
    <row r="32">
      <c r="A32" s="2" t="inlineStr">
        <is>
          <t>Patreon</t>
        </is>
      </c>
      <c r="B32" s="80" t="n">
        <v>0.1</v>
      </c>
      <c r="C32" s="81" t="n">
        <v>0</v>
      </c>
      <c r="D32" s="81" t="n">
        <v>0</v>
      </c>
      <c r="F32" s="82" t="inlineStr">
        <is>
          <t>Published: 10% all-in, processing included</t>
        </is>
      </c>
    </row>
    <row r="33">
      <c r="A33" s="2" t="inlineStr">
        <is>
          <t>Passes</t>
        </is>
      </c>
      <c r="B33" s="80" t="n">
        <v>0.1</v>
      </c>
      <c r="C33" s="81" t="n">
        <v>0.3</v>
      </c>
      <c r="D33" s="81" t="n">
        <v>29</v>
      </c>
      <c r="F33" s="82" t="inlineStr">
        <is>
          <t>Sacra; Passes rebrand release Apr 2026</t>
        </is>
      </c>
    </row>
    <row r="34">
      <c r="A34" s="2" t="inlineStr">
        <is>
          <t>Stride (proposed)</t>
        </is>
      </c>
      <c r="B34" s="80" t="n">
        <v>0.15</v>
      </c>
      <c r="C34" s="81" t="n">
        <v>0</v>
      </c>
      <c r="D34" s="81" t="n">
        <v>0</v>
      </c>
      <c r="F34" s="82" t="inlineStr">
        <is>
          <t>Our decision, see MarketModel</t>
        </is>
      </c>
    </row>
    <row r="36">
      <c r="A36" s="79" t="inlineStr">
        <is>
          <t>INTERMEDIARIES the athlete already pays</t>
        </is>
      </c>
    </row>
    <row r="37">
      <c r="A37" s="15" t="inlineStr">
        <is>
          <t>Sports agent: endorsement</t>
        </is>
      </c>
      <c r="B37" s="80" t="n">
        <v>0.1</v>
      </c>
      <c r="C37" s="80" t="n">
        <v>0.2</v>
      </c>
      <c r="F37" s="82" t="inlineStr">
        <is>
          <t>Unregulated; widely reported, no primary source</t>
        </is>
      </c>
    </row>
    <row r="38">
      <c r="A38" s="15" t="inlineStr">
        <is>
          <t>Sports agent: playing contract</t>
        </is>
      </c>
      <c r="B38" s="80" t="n">
        <v>0.02</v>
      </c>
      <c r="C38" s="80" t="n">
        <v>0.05</v>
      </c>
      <c r="F38" s="82" t="inlineStr">
        <is>
          <t>NBPA reg. 4.B (Sept 2025); FIFA FFAR art. 15</t>
        </is>
      </c>
    </row>
    <row r="39">
      <c r="A39" s="15" t="inlineStr">
        <is>
          <t>OnlyFans management agency</t>
        </is>
      </c>
      <c r="B39" s="80" t="n">
        <v>0.2</v>
      </c>
      <c r="C39" s="80" t="n">
        <v>0.5</v>
      </c>
      <c r="F39" s="82" t="inlineStr">
        <is>
          <t>Aruna Talent rate guide 2026, on top of the 20%</t>
        </is>
      </c>
    </row>
    <row r="41">
      <c r="A41" s="79" t="inlineStr">
        <is>
          <t>SPONSORSHIP MARKET - top down, for context not for sizing</t>
        </is>
      </c>
    </row>
    <row r="42">
      <c r="A42" s="59"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4" t="inlineStr">
        <is>
          <t>Metric</t>
        </is>
      </c>
      <c r="B43" s="74" t="inlineStr">
        <is>
          <t>Value</t>
        </is>
      </c>
      <c r="C43" s="74" t="inlineStr">
        <is>
          <t>Unit</t>
        </is>
      </c>
      <c r="D43" s="74" t="inlineStr">
        <is>
          <t>Scope</t>
        </is>
      </c>
      <c r="E43" s="74" t="inlineStr">
        <is>
          <t>Period</t>
        </is>
      </c>
      <c r="F43" s="74" t="inlineStr">
        <is>
          <t>Source</t>
        </is>
      </c>
    </row>
    <row r="44">
      <c r="A44" s="75" t="inlineStr">
        <is>
          <t>Total sponsorship market</t>
        </is>
      </c>
      <c r="B44" s="62" t="n">
        <v>34450000000</v>
      </c>
      <c r="C44" s="77" t="inlineStr">
        <is>
          <t>EUR</t>
        </is>
      </c>
      <c r="D44" s="77" t="inlineStr">
        <is>
          <t>Europe</t>
        </is>
      </c>
      <c r="E44" s="77" t="inlineStr">
        <is>
          <t>2025</t>
        </is>
      </c>
      <c r="F44" s="77" t="inlineStr">
        <is>
          <t>European Sponsorship Association, analysis by Nielsen Sports, 12 Mar 2026</t>
        </is>
      </c>
    </row>
    <row r="45">
      <c r="A45" s="75" t="inlineStr">
        <is>
          <t>Sport sponsorship market</t>
        </is>
      </c>
      <c r="B45" s="62" t="n">
        <v>24790000000</v>
      </c>
      <c r="C45" s="77" t="inlineStr">
        <is>
          <t>EUR</t>
        </is>
      </c>
      <c r="D45" s="77" t="inlineStr">
        <is>
          <t>Europe</t>
        </is>
      </c>
      <c r="E45" s="77" t="inlineStr">
        <is>
          <t>2025</t>
        </is>
      </c>
      <c r="F45" s="77" t="inlineStr">
        <is>
          <t>ESA / Nielsen Sports: 72% of the total, +5.9% YoY</t>
        </is>
      </c>
    </row>
    <row r="46">
      <c r="A46" s="75" t="inlineStr">
        <is>
          <t>Non-sport sponsorship</t>
        </is>
      </c>
      <c r="B46" s="62" t="n">
        <v>9660000000</v>
      </c>
      <c r="C46" s="77" t="inlineStr">
        <is>
          <t>EUR</t>
        </is>
      </c>
      <c r="D46" s="77" t="inlineStr">
        <is>
          <t>Europe</t>
        </is>
      </c>
      <c r="E46" s="77" t="inlineStr">
        <is>
          <t>2025</t>
        </is>
      </c>
      <c r="F46" s="77" t="inlineStr">
        <is>
          <t>ESA / Nielsen Sports: +1.8% YoY</t>
        </is>
      </c>
    </row>
    <row r="47">
      <c r="A47" s="75" t="inlineStr">
        <is>
          <t>Sport sponsorship market</t>
        </is>
      </c>
      <c r="B47" s="62" t="n">
        <v>2180000000</v>
      </c>
      <c r="C47" s="77" t="inlineStr">
        <is>
          <t>EUR</t>
        </is>
      </c>
      <c r="D47" s="77" t="inlineStr">
        <is>
          <t>Spain</t>
        </is>
      </c>
      <c r="E47" s="77" t="inlineStr">
        <is>
          <t>2025</t>
        </is>
      </c>
      <c r="F47" s="77" t="inlineStr">
        <is>
          <t>ESA / Nielsen Sports: +14%, the fastest growing major European market</t>
        </is>
      </c>
    </row>
    <row r="48">
      <c r="A48" s="75" t="inlineStr">
        <is>
          <t>Sport sponsorship market</t>
        </is>
      </c>
      <c r="B48" s="62" t="n">
        <v>6260000000</v>
      </c>
      <c r="C48" s="77" t="inlineStr">
        <is>
          <t>EUR</t>
        </is>
      </c>
      <c r="D48" s="77" t="inlineStr">
        <is>
          <t>Germany</t>
        </is>
      </c>
      <c r="E48" s="77" t="inlineStr">
        <is>
          <t>2025</t>
        </is>
      </c>
      <c r="F48" s="77" t="inlineStr">
        <is>
          <t>ESA / Nielsen Sports: the largest European market</t>
        </is>
      </c>
    </row>
    <row r="49">
      <c r="A49" s="75" t="inlineStr">
        <is>
          <t>Sport sponsorship market</t>
        </is>
      </c>
      <c r="B49" s="62" t="n">
        <v>6150000000</v>
      </c>
      <c r="C49" s="77" t="inlineStr">
        <is>
          <t>EUR</t>
        </is>
      </c>
      <c r="D49" s="77" t="inlineStr">
        <is>
          <t>United Kingdom</t>
        </is>
      </c>
      <c r="E49" s="77" t="inlineStr">
        <is>
          <t>2025</t>
        </is>
      </c>
      <c r="F49" s="77" t="inlineStr">
        <is>
          <t>ESA / Nielsen Sports: +10.5%</t>
        </is>
      </c>
    </row>
    <row r="50">
      <c r="A50" s="75" t="inlineStr">
        <is>
          <t>Sport sponsorship market</t>
        </is>
      </c>
      <c r="B50" s="62" t="n">
        <v>2010000000</v>
      </c>
      <c r="C50" s="77" t="inlineStr">
        <is>
          <t>EUR</t>
        </is>
      </c>
      <c r="D50" s="77" t="inlineStr">
        <is>
          <t>Italy</t>
        </is>
      </c>
      <c r="E50" s="77" t="inlineStr">
        <is>
          <t>2025</t>
        </is>
      </c>
      <c r="F50" s="77" t="inlineStr">
        <is>
          <t>ESA / Nielsen Sports: +5%</t>
        </is>
      </c>
    </row>
    <row r="51">
      <c r="A51" s="75" t="inlineStr">
        <is>
          <t>Sport sponsorship market</t>
        </is>
      </c>
      <c r="B51" s="62" t="n">
        <v>1850000000</v>
      </c>
      <c r="C51" s="77" t="inlineStr">
        <is>
          <t>EUR</t>
        </is>
      </c>
      <c r="D51" s="77" t="inlineStr">
        <is>
          <t>France</t>
        </is>
      </c>
      <c r="E51" s="77" t="inlineStr">
        <is>
          <t>2025</t>
        </is>
      </c>
      <c r="F51" s="77" t="inlineStr">
        <is>
          <t>ESA / Nielsen Sports: +10.3%</t>
        </is>
      </c>
    </row>
    <row r="53">
      <c r="A53" s="79" t="inlineStr">
        <is>
          <t>European SPORT sponsorship by year, EUR bn</t>
        </is>
      </c>
    </row>
    <row r="54">
      <c r="A54" s="12" t="n">
        <v>2019</v>
      </c>
      <c r="B54" s="12" t="n">
        <v>2021</v>
      </c>
      <c r="C54" s="12" t="n">
        <v>2022</v>
      </c>
      <c r="D54" s="12" t="n">
        <v>2023</v>
      </c>
      <c r="E54" s="12" t="n">
        <v>2024</v>
      </c>
      <c r="F54" s="12" t="n">
        <v>2025</v>
      </c>
    </row>
    <row r="55">
      <c r="A55" s="83" t="n">
        <v>20.26</v>
      </c>
      <c r="B55" s="83" t="n">
        <v>19.8</v>
      </c>
      <c r="C55" s="83" t="n">
        <v>20.69</v>
      </c>
      <c r="D55" s="83" t="n">
        <v>21.98</v>
      </c>
      <c r="E55" s="83" t="n">
        <v>23.41</v>
      </c>
      <c r="F55" s="83" t="n">
        <v>24.79</v>
      </c>
    </row>
    <row r="56">
      <c r="A56" s="59" t="inlineStr">
        <is>
          <t>2020 is not published in the ESA series. Source: ESA via Statista, retrieved 1 Oct 2026.</t>
        </is>
      </c>
    </row>
    <row r="58">
      <c r="A58" s="79" t="inlineStr">
        <is>
          <t>FAN DEMAND - published surveys bearing on the fan thesis</t>
        </is>
      </c>
    </row>
    <row r="59">
      <c r="A59" s="74" t="inlineStr">
        <is>
          <t>Metric</t>
        </is>
      </c>
      <c r="B59" s="74" t="inlineStr">
        <is>
          <t>Value</t>
        </is>
      </c>
      <c r="C59" s="74" t="inlineStr">
        <is>
          <t>Unit</t>
        </is>
      </c>
      <c r="D59" s="74" t="inlineStr">
        <is>
          <t>Scope</t>
        </is>
      </c>
      <c r="E59" s="74" t="inlineStr">
        <is>
          <t>Period</t>
        </is>
      </c>
      <c r="F59" s="74" t="inlineStr">
        <is>
          <t>Source</t>
        </is>
      </c>
    </row>
    <row r="60">
      <c r="A60" s="75" t="inlineStr">
        <is>
          <t>Weekly minutes, fan-generated content</t>
        </is>
      </c>
      <c r="B60" s="76" t="n">
        <v>115</v>
      </c>
      <c r="C60" s="77" t="inlineStr">
        <is>
          <t>minutes/week</t>
        </is>
      </c>
      <c r="D60" s="77" t="inlineStr">
        <is>
          <t>FR DE IT ES UK US</t>
        </is>
      </c>
      <c r="E60" s="77" t="inlineStr">
        <is>
          <t>Dec 2025</t>
        </is>
      </c>
      <c r="F60" s="77" t="inlineStr">
        <is>
          <t>Altman Solon / IRIS Sport, 6,000 respondents who watch sports video monthly</t>
        </is>
      </c>
    </row>
    <row r="61">
      <c r="A61" s="75" t="inlineStr">
        <is>
          <t>Weekly minutes, highlights and clips</t>
        </is>
      </c>
      <c r="B61" s="76" t="n">
        <v>115</v>
      </c>
      <c r="C61" s="77" t="inlineStr">
        <is>
          <t>minutes/week</t>
        </is>
      </c>
      <c r="D61" s="77" t="inlineStr">
        <is>
          <t>FR DE IT ES UK US</t>
        </is>
      </c>
      <c r="E61" s="77" t="inlineStr">
        <is>
          <t>Dec 2025</t>
        </is>
      </c>
      <c r="F61" s="77" t="inlineStr">
        <is>
          <t>Altman Solon / IRIS Sport</t>
        </is>
      </c>
    </row>
    <row r="62">
      <c r="A62" s="75" t="inlineStr">
        <is>
          <t>Weekly minutes, live games and events</t>
        </is>
      </c>
      <c r="B62" s="76" t="n">
        <v>245</v>
      </c>
      <c r="C62" s="77" t="inlineStr">
        <is>
          <t>minutes/week</t>
        </is>
      </c>
      <c r="D62" s="77" t="inlineStr">
        <is>
          <t>FR DE IT ES UK US</t>
        </is>
      </c>
      <c r="E62" s="77" t="inlineStr">
        <is>
          <t>Dec 2025</t>
        </is>
      </c>
      <c r="F62" s="77" t="inlineStr">
        <is>
          <t>Altman Solon / IRIS Sport</t>
        </is>
      </c>
    </row>
    <row r="63">
      <c r="A63" s="75" t="inlineStr">
        <is>
          <t>YouTube share of fan-generated viewing</t>
        </is>
      </c>
      <c r="B63" s="38" t="n">
        <v>0.35</v>
      </c>
      <c r="C63" s="77" t="inlineStr">
        <is>
          <t>share</t>
        </is>
      </c>
      <c r="D63" s="77" t="inlineStr">
        <is>
          <t>FR DE IT ES UK US</t>
        </is>
      </c>
      <c r="E63" s="77" t="inlineStr">
        <is>
          <t>Dec 2025</t>
        </is>
      </c>
      <c r="F63" s="77" t="inlineStr">
        <is>
          <t>Altman Solon / IRIS Sport: 40 of 115 minutes, more than linear TV or streaming</t>
        </is>
      </c>
    </row>
    <row r="64">
      <c r="A64" s="75" t="inlineStr">
        <is>
          <t>Subscribers watching MORE sport after subscribing</t>
        </is>
      </c>
      <c r="B64" s="38" t="n">
        <v>0.7</v>
      </c>
      <c r="C64" s="77" t="inlineStr">
        <is>
          <t>share</t>
        </is>
      </c>
      <c r="D64" s="77" t="inlineStr">
        <is>
          <t>Worldwide</t>
        </is>
      </c>
      <c r="E64" s="77" t="inlineStr">
        <is>
          <t>Nov 2022</t>
        </is>
      </c>
      <c r="F64" s="77" t="inlineStr">
        <is>
          <t>YouGov / Strive, 19,000 respondents: 38% much more + 32% somewhat more</t>
        </is>
      </c>
    </row>
    <row r="65">
      <c r="A65" s="75" t="inlineStr">
        <is>
          <t>Subscribers watching LESS sport after subscribing</t>
        </is>
      </c>
      <c r="B65" s="38" t="n">
        <v>0.07000000000000001</v>
      </c>
      <c r="C65" s="77" t="inlineStr">
        <is>
          <t>share</t>
        </is>
      </c>
      <c r="D65" s="77" t="inlineStr">
        <is>
          <t>Worldwide</t>
        </is>
      </c>
      <c r="E65" s="77" t="inlineStr">
        <is>
          <t>Nov 2022</t>
        </is>
      </c>
      <c r="F65" s="77" t="inlineStr">
        <is>
          <t>YouGov / Strive: 3% much less + 4% somewhat less</t>
        </is>
      </c>
    </row>
    <row r="67">
      <c r="A67" s="79" t="inlineStr">
        <is>
          <t>SPONSORSHIP MARKETPLACES - the direct competitor set</t>
        </is>
      </c>
    </row>
    <row r="68">
      <c r="A68" s="59" t="inlineStr">
        <is>
          <t>PitchBook company profiles retrieved 1 Oct 2026, reported in EUR. None of the four discloses revenue, so headcount and capital raised are the only scale measures available. Links at the bottom of this sheet.</t>
        </is>
      </c>
    </row>
    <row r="69">
      <c r="A69" s="74" t="inlineStr">
        <is>
          <t>Company</t>
        </is>
      </c>
      <c r="B69" s="74" t="inlineStr">
        <is>
          <t>Founded</t>
        </is>
      </c>
      <c r="C69" s="74" t="inlineStr">
        <is>
          <t>Employees (as of)</t>
        </is>
      </c>
      <c r="D69" s="74" t="inlineStr">
        <is>
          <t>Total raised</t>
        </is>
      </c>
      <c r="E69" s="74" t="inlineStr">
        <is>
          <t>Largest round pre-money</t>
        </is>
      </c>
      <c r="F69" s="74" t="inlineStr">
        <is>
          <t>Status</t>
        </is>
      </c>
    </row>
    <row r="70">
      <c r="A70" s="84" t="inlineStr">
        <is>
          <t>Sponsoo (Germany)</t>
        </is>
      </c>
      <c r="B70" s="39" t="n">
        <v>2014</v>
      </c>
      <c r="C70" s="76" t="n">
        <v>13</v>
      </c>
      <c r="D70" s="62" t="n">
        <v>2170000</v>
      </c>
      <c r="E70" s="62" t="n">
        <v>15900000</v>
      </c>
      <c r="F70" s="77" t="inlineStr">
        <is>
          <t>Headcount as of 14 Nov 2025. Privately held, venture backed. Series A 28 Jan 2021; pre-money is a PitchBook ESTIMATE</t>
        </is>
      </c>
    </row>
    <row r="71">
      <c r="A71" s="84" t="inlineStr">
        <is>
          <t>OpenSponsorship (United States)</t>
        </is>
      </c>
      <c r="B71" s="39" t="n">
        <v>2014</v>
      </c>
      <c r="C71" s="76" t="n">
        <v>23</v>
      </c>
      <c r="D71" s="62" t="n">
        <v>5400000</v>
      </c>
      <c r="E71" s="62" t="n"/>
      <c r="F71" s="77" t="inlineStr">
        <is>
          <t>Headcount as of 9 Mar 2026. Privately held, venture backed. Last priced round not disclosed</t>
        </is>
      </c>
    </row>
    <row r="72">
      <c r="A72" s="84" t="inlineStr">
        <is>
          <t>SponsorUnited (United States)</t>
        </is>
      </c>
      <c r="B72" s="39" t="n">
        <v>2016</v>
      </c>
      <c r="C72" s="76" t="n">
        <v>355</v>
      </c>
      <c r="D72" s="62" t="n">
        <v>38760000</v>
      </c>
      <c r="E72" s="62" t="n">
        <v>89380000</v>
      </c>
      <c r="F72" s="77" t="inlineStr">
        <is>
          <t>Headcount as of 28 May 2026. Privately held, venture backed. Series A 21 Nov 2022</t>
        </is>
      </c>
    </row>
    <row r="73">
      <c r="A73" s="84" t="inlineStr">
        <is>
          <t>Hookit (United States)</t>
        </is>
      </c>
      <c r="B73" s="39" t="n">
        <v>2001</v>
      </c>
      <c r="C73" s="76" t="n">
        <v>47</v>
      </c>
      <c r="D73" s="62" t="n">
        <v>21470000</v>
      </c>
      <c r="E73" s="62" t="n">
        <v>38400000</v>
      </c>
      <c r="F73" s="77" t="inlineStr">
        <is>
          <t>Headcount as of 8 Feb 2022. Acquired, operating subsidiary. Series C2 24 Feb 2020; pre-money is a PitchBook ESTIMATE</t>
        </is>
      </c>
    </row>
    <row r="74">
      <c r="A74" s="84" t="inlineStr">
        <is>
          <t>Stride (this plan, at Y10)</t>
        </is>
      </c>
      <c r="B74" s="85" t="n">
        <v>2026</v>
      </c>
      <c r="C74" s="86">
        <f>Assumptions!L66</f>
        <v/>
      </c>
      <c r="D74" s="87">
        <f>SUM(Funding!C4:L4)</f>
        <v/>
      </c>
      <c r="E74" s="87">
        <f>Funding!H5</f>
        <v/>
      </c>
      <c r="F74" s="77" t="inlineStr">
        <is>
          <t>Deliberately sized near Sponsoo. Only EUR 400k of the total is capital the plan depends on; the growth round is optional</t>
        </is>
      </c>
    </row>
    <row r="76">
      <c r="A76" s="79"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8" t="n">
        <v>135000</v>
      </c>
      <c r="F78" s="89" t="inlineStr">
        <is>
          <t>SaaS Capital 2025 survey of ~1,000 private B2B SaaS companies</t>
        </is>
      </c>
    </row>
    <row r="79">
      <c r="A79" s="15" t="inlineStr">
        <is>
          <t>Top quartile private B2B SaaS</t>
        </is>
      </c>
      <c r="B79" s="88" t="n">
        <v>215000</v>
      </c>
      <c r="F79" s="89" t="inlineStr">
        <is>
          <t>SaaS Capital 2025 survey, 75th percentile</t>
        </is>
      </c>
    </row>
    <row r="80">
      <c r="A80" s="15" t="inlineStr">
        <is>
          <t>Efficient public SaaS at scale</t>
        </is>
      </c>
      <c r="B80" s="88" t="n">
        <v>300000</v>
      </c>
      <c r="F80" s="89" t="inlineStr">
        <is>
          <t>Public SaaS medians, widely reported range EUR 250-350k</t>
        </is>
      </c>
    </row>
    <row r="81">
      <c r="A81" s="2" t="inlineStr">
        <is>
          <t>Stride (this plan, Y7)</t>
        </is>
      </c>
      <c r="B81" s="90">
        <f>KPIs!I14</f>
        <v/>
      </c>
      <c r="F81" s="89" t="inlineStr">
        <is>
          <t>Above the top quartile. Defended in section 3.2.2: the fan side is self-serve and moderation is a variable cost, not headcount</t>
        </is>
      </c>
    </row>
    <row r="82">
      <c r="A82" s="15" t="inlineStr">
        <is>
          <t>Multiple of the top quartile</t>
        </is>
      </c>
      <c r="B82" s="91">
        <f>B81/B79</f>
        <v/>
      </c>
      <c r="F82" s="82" t="inlineStr">
        <is>
          <t>The plan's second most aggressive assumption after fan churn</t>
        </is>
      </c>
    </row>
    <row r="85">
      <c r="A85" s="2" t="inlineStr">
        <is>
          <t>SOURCES</t>
        </is>
      </c>
    </row>
    <row r="86">
      <c r="A86" s="92" t="inlineStr">
        <is>
          <t>OnlyFans FY2024 filed accounts (Fenix International Ltd)</t>
        </is>
      </c>
      <c r="B86" s="93" t="inlineStr">
        <is>
          <t>https://find-and-update.company-information.service.gov.uk/company/10354575/filing-history</t>
        </is>
      </c>
    </row>
    <row r="87">
      <c r="A87" s="92" t="inlineStr">
        <is>
          <t>OnlyFans FY2024 as reported</t>
        </is>
      </c>
      <c r="B87" s="93" t="inlineStr">
        <is>
          <t>https://variety.com/2025/digital/news/onlyfans-fiscal-2024-revenue-earnings-1236495750/</t>
        </is>
      </c>
    </row>
    <row r="88">
      <c r="A88" s="92" t="inlineStr">
        <is>
          <t>Patreon published take rate</t>
        </is>
      </c>
      <c r="B88" s="93" t="inlineStr">
        <is>
          <t>https://www.patreon.com/pricing</t>
        </is>
      </c>
    </row>
    <row r="89">
      <c r="A89" s="92" t="inlineStr">
        <is>
          <t>Patreon creators</t>
        </is>
      </c>
      <c r="B89" s="93" t="inlineStr">
        <is>
          <t>https://backlinko.com/patreon-users</t>
        </is>
      </c>
    </row>
    <row r="90">
      <c r="A90" s="92" t="inlineStr">
        <is>
          <t>Passes economics</t>
        </is>
      </c>
      <c r="B90" s="93" t="inlineStr">
        <is>
          <t>https://sacra.com/c/passes/</t>
        </is>
      </c>
    </row>
    <row r="91">
      <c r="A91" s="92" t="inlineStr">
        <is>
          <t>Fanfix creator terms (states no take rate)</t>
        </is>
      </c>
      <c r="B91" s="93" t="inlineStr">
        <is>
          <t>https://auth.fanfix.io/creator-terms-of-use</t>
        </is>
      </c>
    </row>
    <row r="92">
      <c r="A92" s="92" t="inlineStr">
        <is>
          <t>Agency commissions</t>
        </is>
      </c>
      <c r="B92" s="93" t="inlineStr">
        <is>
          <t>https://arunatalent.com/blog/onlyfans-agency-commission-rates/</t>
        </is>
      </c>
    </row>
    <row r="93">
      <c r="A93" s="92" t="inlineStr">
        <is>
          <t>NBPA agent fee cap (amended Sept 2025)</t>
        </is>
      </c>
      <c r="B93" s="93" t="inlineStr">
        <is>
          <t>https://imgix.cosmicjs.com/cd844850-97c7-11f0-91fa-d9e1671c2776-NBPA-REGULATIONS-GOVERNING-PLAYER-AGENTS-09-2025.pdf</t>
        </is>
      </c>
    </row>
    <row r="94">
      <c r="A94" s="92" t="inlineStr">
        <is>
          <t>FIFA Football Agent Regulations art. 15</t>
        </is>
      </c>
      <c r="B94" s="93" t="inlineStr">
        <is>
          <t>https://digitalhub.fifa.com/m/1e7b741fa0fae779/original/FIFA-Football-Agent-Regulations.pdf</t>
        </is>
      </c>
    </row>
    <row r="95">
      <c r="A95" s="92" t="inlineStr">
        <is>
          <t>CJEU upholds the FIFA fee cap (16 Jul 2026)</t>
        </is>
      </c>
      <c r="B95" s="93" t="inlineStr">
        <is>
          <t>https://inside.fifa.com/news/welcomes-court-of-justice-european-union-decision-football-agent-regulations</t>
        </is>
      </c>
    </row>
    <row r="96">
      <c r="A96" s="92" t="inlineStr">
        <is>
          <t>Eurobarometer 525</t>
        </is>
      </c>
      <c r="B96" s="93" t="inlineStr">
        <is>
          <t>https://europa.eu/eurobarometer/surveys/detail/2668</t>
        </is>
      </c>
    </row>
    <row r="97">
      <c r="A97" s="92" t="inlineStr">
        <is>
          <t>FIP World Padel Report 2025</t>
        </is>
      </c>
      <c r="B97" s="93" t="inlineStr">
        <is>
          <t>https://www.padelfip.com/2025/12/online-the-fip-world-padel-report-2025-a-comprehensive-analysis-of-a-sport-in-constant-growth/</t>
        </is>
      </c>
    </row>
    <row r="98">
      <c r="A98" s="92" t="inlineStr">
        <is>
          <t>Stripe EU pricing</t>
        </is>
      </c>
      <c r="B98" s="93" t="inlineStr">
        <is>
          <t>https://stripe.com/es/pricing</t>
        </is>
      </c>
    </row>
    <row r="99">
      <c r="A99" s="92" t="inlineStr">
        <is>
          <t>TEKTA launch</t>
        </is>
      </c>
      <c r="B99" s="93" t="inlineStr">
        <is>
          <t>https://www.publicisgroupe.com/en/news/press-releases/publicis-sports-and-travis-kelce-s-tekta-join-forces-to-reimagine-the-future-of-nil-marketing</t>
        </is>
      </c>
    </row>
    <row r="100">
      <c r="A100" s="92" t="inlineStr">
        <is>
          <t>Stripe Connect age</t>
        </is>
      </c>
      <c r="B100" s="93" t="inlineStr">
        <is>
          <t>https://support.stripe.com/questions/age-requirement-to-create-a-stripe-account</t>
        </is>
      </c>
    </row>
    <row r="101">
      <c r="A101" s="92" t="inlineStr">
        <is>
          <t>PitchBook: Sponsoo GmbH</t>
        </is>
      </c>
      <c r="B101" s="93" t="inlineStr">
        <is>
          <t>https://pitchbook.com/profiles/company/103066-39</t>
        </is>
      </c>
    </row>
    <row r="102">
      <c r="A102" s="92" t="inlineStr">
        <is>
          <t>PitchBook: OpenSponsorship</t>
        </is>
      </c>
      <c r="B102" s="93" t="inlineStr">
        <is>
          <t>https://pitchbook.com/profiles/company/113575-96</t>
        </is>
      </c>
    </row>
    <row r="103">
      <c r="A103" s="92" t="inlineStr">
        <is>
          <t>PitchBook: SponsorUnited</t>
        </is>
      </c>
      <c r="B103" s="93" t="inlineStr">
        <is>
          <t>https://pitchbook.com/profiles/company/169635-43</t>
        </is>
      </c>
    </row>
    <row r="104">
      <c r="A104" s="92" t="inlineStr">
        <is>
          <t>PitchBook: Hookit</t>
        </is>
      </c>
      <c r="B104" s="93" t="inlineStr">
        <is>
          <t>https://pitchbook.com/profiles/company/55307-17</t>
        </is>
      </c>
    </row>
    <row r="105">
      <c r="A105" s="92" t="inlineStr">
        <is>
          <t>ESA European sponsorship market 2025</t>
        </is>
      </c>
      <c r="B105" s="93" t="inlineStr">
        <is>
          <t>https://sponsorship.org/european-sponsorship-market-reaches-e34-45bn-in-2025-as-growth-continues-across-all-sectors/</t>
        </is>
      </c>
    </row>
    <row r="106">
      <c r="A106" s="92" t="inlineStr">
        <is>
          <t>SportsPro on the ESA 2026 market overview</t>
        </is>
      </c>
      <c r="B106" s="93" t="inlineStr">
        <is>
          <t>https://www.sportspro.com/news/sponsorship-marketing/sports-sponsorship-european-market-valuation-esa-march-2026/</t>
        </is>
      </c>
    </row>
    <row r="107">
      <c r="A107" s="92" t="inlineStr">
        <is>
          <t>European sport sponsorship 2019-2025 (ESA via Statista)</t>
        </is>
      </c>
      <c r="B107" s="93" t="inlineStr">
        <is>
          <t>https://www.statista.com/statistics/1430225/sports-sponsorship-market-size-europe/</t>
        </is>
      </c>
    </row>
    <row r="108">
      <c r="A108" s="92" t="inlineStr">
        <is>
          <t>Sports content formats by channel (Altman Solon / IRIS Sport)</t>
        </is>
      </c>
      <c r="B108" s="93" t="inlineStr">
        <is>
          <t>https://www.statista.com/statistics/1660170/time-spent-weekly-watching-sports-formats-by-channel/</t>
        </is>
      </c>
    </row>
    <row r="109">
      <c r="A109" s="92" t="inlineStr">
        <is>
          <t>Impact of subscriptions on sports consumption (YouGov / Strive)</t>
        </is>
      </c>
      <c r="B109" s="93" t="inlineStr">
        <is>
          <t>https://www.statista.com/statistics/1413187/impact-subscriptions-sports-content-consumption/</t>
        </is>
      </c>
    </row>
    <row r="110">
      <c r="A110" s="92" t="inlineStr">
        <is>
          <t>SaaS Capital revenue per employee benchmarks</t>
        </is>
      </c>
      <c r="B110" s="93"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9" t="inlineStr">
        <is>
          <t>Each block starts from a published figure on Comparables and ends in a number the Assumptions sheet uses. Adjustment factors are blue because they are our judgement; everything else is a formula you can trace.</t>
        </is>
      </c>
    </row>
    <row r="3">
      <c r="C3" s="94" t="inlineStr">
        <is>
          <t>Input: change me</t>
        </is>
      </c>
      <c r="D3" s="95" t="n"/>
      <c r="E3" s="96" t="inlineStr">
        <is>
          <t>Sourced fact</t>
        </is>
      </c>
      <c r="F3" s="95" t="n"/>
      <c r="G3" s="97" t="inlineStr">
        <is>
          <t>Formula (this sheet)</t>
        </is>
      </c>
      <c r="H3" s="95" t="n"/>
      <c r="I3" s="98" t="inlineStr">
        <is>
          <t>Dependent value</t>
        </is>
      </c>
      <c r="J3" s="95" t="n"/>
      <c r="K3" s="99" t="inlineStr">
        <is>
          <t>Total</t>
        </is>
      </c>
      <c r="L3" s="95" t="n"/>
    </row>
    <row r="5">
      <c r="A5" s="13" t="inlineStr">
        <is>
          <t>1. PAYING FANS PER MONETISING ATHLETE  -&gt; Assumptions</t>
        </is>
      </c>
      <c r="B5" s="14" t="n"/>
      <c r="C5" s="14" t="n"/>
      <c r="D5" s="14" t="n"/>
    </row>
    <row r="6" ht="30" customHeight="1">
      <c r="A6" s="15" t="inlineStr">
        <is>
          <t>Patreon active paying members</t>
        </is>
      </c>
      <c r="B6" s="19">
        <f>Comparables!B14</f>
        <v/>
      </c>
      <c r="D6" s="89" t="inlineStr">
        <is>
          <t>Published</t>
        </is>
      </c>
    </row>
    <row r="7" ht="30" customHeight="1">
      <c r="A7" s="15" t="inlineStr">
        <is>
          <t>Patreon creators with &gt;=1 paying member</t>
        </is>
      </c>
      <c r="B7" s="19">
        <f>Comparables!B12</f>
        <v/>
      </c>
      <c r="D7" s="89" t="inlineStr">
        <is>
          <t>Published</t>
        </is>
      </c>
    </row>
    <row r="8" ht="30" customHeight="1">
      <c r="A8" s="15" t="inlineStr">
        <is>
          <t>Members per paying creator</t>
        </is>
      </c>
      <c r="B8" s="66">
        <f>B6/B7</f>
        <v/>
      </c>
      <c r="D8" s="89" t="inlineStr">
        <is>
          <t>The single most useful benchmark we found: it is measured, not modelled.</t>
        </is>
      </c>
    </row>
    <row r="9" ht="30" customHeight="1">
      <c r="A9" s="15" t="inlineStr">
        <is>
          <t>OnlyFans fan accounts per creator</t>
        </is>
      </c>
      <c r="B9" s="33">
        <f>Comparables!B9/Comparables!B8</f>
        <v/>
      </c>
      <c r="D9" s="89" t="inlineStr">
        <is>
          <t>Fan ACCOUNTS, not paying fans - most follow free. Shown as an upper bound only.</t>
        </is>
      </c>
    </row>
    <row r="10" ht="30" customHeight="1">
      <c r="A10" s="15" t="inlineStr">
        <is>
          <t>Niche adjustment</t>
        </is>
      </c>
      <c r="B10" s="26" t="n">
        <v>1.06</v>
      </c>
      <c r="D10" s="89" t="inlineStr">
        <is>
          <t>OUR JUDGEMENT: +6% on the Patreon benchmark. Sport audiences are smaller but convert better, because the fan usually does the sport themselves.</t>
        </is>
      </c>
    </row>
    <row r="11" ht="30" customHeight="1">
      <c r="A11" s="15" t="inlineStr">
        <is>
          <t>Popular adjustment</t>
        </is>
      </c>
      <c r="B11" s="26" t="n">
        <v>1.37</v>
      </c>
      <c r="D11" s="89" t="inlineStr">
        <is>
          <t>OUR JUDGEMENT: +37%. Much larger followings, much weaker conversion - more paying fans in absolute terms even though a smaller share converts.</t>
        </is>
      </c>
    </row>
    <row r="12" ht="15" customHeight="1">
      <c r="A12" s="2" t="inlineStr">
        <is>
          <t>→ Niche fans per athlete, mature</t>
        </is>
      </c>
      <c r="B12" s="100">
        <f>B8*B10</f>
        <v/>
      </c>
      <c r="D12" s="89" t="inlineStr"/>
    </row>
    <row r="13" ht="15" customHeight="1">
      <c r="A13" s="2" t="inlineStr">
        <is>
          <t>→ Popular fans per athlete, mature</t>
        </is>
      </c>
      <c r="B13" s="100">
        <f>B8*B11</f>
        <v/>
      </c>
      <c r="D13" s="89" t="inlineStr"/>
    </row>
    <row r="14">
      <c r="A14" s="13" t="inlineStr">
        <is>
          <t>2. FAN ARPU  -&gt; Assumptions</t>
        </is>
      </c>
      <c r="B14" s="14" t="n"/>
      <c r="C14" s="14" t="n"/>
      <c r="D14" s="14" t="n"/>
    </row>
    <row r="15" ht="15" customHeight="1">
      <c r="A15" s="15" t="inlineStr">
        <is>
          <t>Tier 1 price (Supporter)</t>
        </is>
      </c>
      <c r="B15" s="22" t="n">
        <v>4.99</v>
      </c>
      <c r="D15" s="89" t="inlineStr"/>
    </row>
    <row r="16" ht="15" customHeight="1">
      <c r="A16" s="15" t="inlineStr">
        <is>
          <t>Tier 2 price (Insider)</t>
        </is>
      </c>
      <c r="B16" s="22" t="n">
        <v>9.99</v>
      </c>
      <c r="D16" s="89" t="inlineStr"/>
    </row>
    <row r="17" ht="15" customHeight="1">
      <c r="A17" s="15" t="inlineStr">
        <is>
          <t>Tier 3 price (Inner circle)</t>
        </is>
      </c>
      <c r="B17" s="22" t="n">
        <v>24.99</v>
      </c>
      <c r="D17" s="89" t="inlineStr"/>
    </row>
    <row r="18" ht="30" customHeight="1">
      <c r="A18" s="15" t="inlineStr">
        <is>
          <t>Mix - Tier 1</t>
        </is>
      </c>
      <c r="B18" s="18" t="n">
        <v>0.4</v>
      </c>
      <c r="D18" s="89" t="inlineStr">
        <is>
          <t>Assumed distribution; replace with the real tier mix after P1.</t>
        </is>
      </c>
    </row>
    <row r="19" ht="15" customHeight="1">
      <c r="A19" s="15" t="inlineStr">
        <is>
          <t>Mix - Tier 2</t>
        </is>
      </c>
      <c r="B19" s="18" t="n">
        <v>0.5</v>
      </c>
      <c r="D19" s="89" t="inlineStr"/>
    </row>
    <row r="20" ht="15" customHeight="1">
      <c r="A20" s="15" t="inlineStr">
        <is>
          <t>Mix - Tier 3</t>
        </is>
      </c>
      <c r="B20" s="18" t="n">
        <v>0.1</v>
      </c>
      <c r="D20" s="89" t="inlineStr"/>
    </row>
    <row r="21" ht="15" customHeight="1">
      <c r="A21" s="15" t="inlineStr">
        <is>
          <t>Mix check (must be 100%)</t>
        </is>
      </c>
      <c r="B21" s="51">
        <f>B18+B19+B20</f>
        <v/>
      </c>
      <c r="D21" s="89" t="inlineStr"/>
    </row>
    <row r="22" ht="30" customHeight="1">
      <c r="A22" s="2" t="inlineStr">
        <is>
          <t>→ Weighted ARPU per month</t>
        </is>
      </c>
      <c r="B22" s="101">
        <f>B15*B18+B16*B19+B17*B20</f>
        <v/>
      </c>
      <c r="D22" s="89"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9" t="inlineStr">
        <is>
          <t>Published average - below our figure because Patreon's long tail includes many $1-3 tiers. Our EUR 9.49 sits inside their $8-12 typical band.</t>
        </is>
      </c>
    </row>
    <row r="24" ht="30" customHeight="1">
      <c r="A24" s="15" t="inlineStr">
        <is>
          <t>Niche ARPU factor</t>
        </is>
      </c>
      <c r="B24" s="26" t="n">
        <v>1</v>
      </c>
      <c r="D24" s="89" t="inlineStr">
        <is>
          <t>Niche fans buy knowledge and sit at the tier mix above.</t>
        </is>
      </c>
    </row>
    <row r="25" ht="30" customHeight="1">
      <c r="A25" s="15" t="inlineStr">
        <is>
          <t>Popular ARPU factor</t>
        </is>
      </c>
      <c r="B25" s="26" t="n">
        <v>0.87</v>
      </c>
      <c r="D25" s="89" t="inlineStr">
        <is>
          <t>OUR JUDGEMENT: -13%. Popular-sport fans skew to the cheapest tier.</t>
        </is>
      </c>
    </row>
    <row r="26" ht="15" customHeight="1">
      <c r="A26" s="2" t="inlineStr">
        <is>
          <t>→ Niche ARPU, mature</t>
        </is>
      </c>
      <c r="B26" s="101">
        <f>B22*B24</f>
        <v/>
      </c>
      <c r="D26" s="89" t="inlineStr"/>
    </row>
    <row r="27" ht="15" customHeight="1">
      <c r="A27" s="2" t="inlineStr">
        <is>
          <t>→ Popular ARPU, mature</t>
        </is>
      </c>
      <c r="B27" s="101">
        <f>B22*B25</f>
        <v/>
      </c>
      <c r="D27" s="89" t="inlineStr"/>
    </row>
    <row r="28">
      <c r="A28" s="13" t="inlineStr">
        <is>
          <t>3. FAN CHURN  -&gt; Assumptions</t>
        </is>
      </c>
      <c r="B28" s="14" t="n"/>
      <c r="C28" s="14" t="n"/>
      <c r="D28" s="14" t="n"/>
    </row>
    <row r="29" ht="15" customHeight="1">
      <c r="A29" s="15" t="inlineStr">
        <is>
          <t>Patreon monthly churn (low)</t>
        </is>
      </c>
      <c r="B29" s="25">
        <f>Comparables!B19</f>
        <v/>
      </c>
      <c r="D29" s="89" t="inlineStr"/>
    </row>
    <row r="30" ht="15" customHeight="1">
      <c r="A30" s="15" t="inlineStr">
        <is>
          <t>Patreon monthly churn (high)</t>
        </is>
      </c>
      <c r="B30" s="25">
        <f>Comparables!B20</f>
        <v/>
      </c>
      <c r="D30" s="89" t="inlineStr"/>
    </row>
    <row r="31" ht="15" customHeight="1">
      <c r="A31" s="15" t="inlineStr">
        <is>
          <t>Benchmark midpoint</t>
        </is>
      </c>
      <c r="B31" s="51">
        <f>(B29+B30)/2</f>
        <v/>
      </c>
      <c r="D31" s="89" t="inlineStr"/>
    </row>
    <row r="32" ht="30" customHeight="1">
      <c r="A32" s="15" t="inlineStr">
        <is>
          <t>Annual-plan churn multiplier</t>
        </is>
      </c>
      <c r="B32" s="35">
        <f>Comparables!B21</f>
        <v/>
      </c>
      <c r="D32" s="89" t="inlineStr">
        <is>
          <t>Patreon: annual patrons churn at one third the monthly rate.</t>
        </is>
      </c>
    </row>
    <row r="33" ht="30" customHeight="1">
      <c r="A33" s="15" t="inlineStr">
        <is>
          <t>Share of subscribers on annual plans</t>
        </is>
      </c>
      <c r="B33" s="18" t="n">
        <v>0.3</v>
      </c>
      <c r="D33" s="89" t="inlineStr">
        <is>
          <t>Our target for the season pass. This is the one lever that improves churn without changing the product.</t>
        </is>
      </c>
    </row>
    <row r="34" ht="30" customHeight="1">
      <c r="A34" s="15" t="inlineStr">
        <is>
          <t>Blended benchmark churn</t>
        </is>
      </c>
      <c r="B34" s="51">
        <f>B31*(1-B33)+B31*B32*B33</f>
        <v/>
      </c>
      <c r="D34" s="89" t="inlineStr">
        <is>
          <t>What a Patreon-like platform would see with our annual mix.</t>
        </is>
      </c>
    </row>
    <row r="35" ht="30" customHeight="1">
      <c r="A35" s="15" t="inlineStr">
        <is>
          <t>Niche engagement factor</t>
        </is>
      </c>
      <c r="B35" s="26" t="n">
        <v>0.55</v>
      </c>
      <c r="D35" s="89"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9" t="inlineStr">
        <is>
          <t>OUR JUDGEMENT: 15% better than benchmark. Impulse follows after a result, with many free substitutes - but still a sport fan rather than a general creator audience.</t>
        </is>
      </c>
    </row>
    <row r="37" ht="15" customHeight="1">
      <c r="A37" s="2" t="inlineStr">
        <is>
          <t>→ Niche churn, mature</t>
        </is>
      </c>
      <c r="B37" s="102">
        <f>B34*B35</f>
        <v/>
      </c>
      <c r="D37" s="89" t="inlineStr"/>
    </row>
    <row r="38" ht="15" customHeight="1">
      <c r="A38" s="2" t="inlineStr">
        <is>
          <t>→ Popular churn, mature</t>
        </is>
      </c>
      <c r="B38" s="102">
        <f>B34*B36</f>
        <v/>
      </c>
      <c r="D38" s="89"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9" t="inlineStr">
        <is>
          <t>Includes dormant accounts, so this is a floor.</t>
        </is>
      </c>
    </row>
    <row r="41" ht="30" customHeight="1">
      <c r="A41" s="15" t="inlineStr">
        <is>
          <t>Patreon: paid to creators / paying creators</t>
        </is>
      </c>
      <c r="B41" s="31">
        <f>Comparables!B15/Comparables!B12/12</f>
        <v/>
      </c>
      <c r="D41" s="89" t="inlineStr">
        <is>
          <t>Denominator is creators WITH members, so this is a ceiling.</t>
        </is>
      </c>
    </row>
    <row r="42" ht="30" customHeight="1">
      <c r="A42" s="2" t="inlineStr">
        <is>
          <t>Stride: modelled niche athlete, mature</t>
        </is>
      </c>
      <c r="B42" s="101">
        <f>B12*B22*(1-Assumptions!$C$40)</f>
        <v/>
      </c>
      <c r="D42" s="89" t="inlineStr">
        <is>
          <t>Ours sits between the two, which is where a plausible figure should sit.</t>
        </is>
      </c>
    </row>
    <row r="43" ht="30" customHeight="1">
      <c r="A43" s="15" t="inlineStr">
        <is>
          <t>Revenue share taken by top 0.1% (OnlyFans)</t>
        </is>
      </c>
      <c r="B43" s="25">
        <f>Comparables!B11</f>
        <v/>
      </c>
      <c r="D43" s="89"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9" t="inlineStr">
        <is>
          <t>Comparables are published in USD; this model is in EUR. Applied to the per-transaction and monthly creator fees below.</t>
        </is>
      </c>
    </row>
    <row r="46" ht="30" customHeight="1">
      <c r="A46" s="15" t="inlineStr">
        <is>
          <t>Athlete monthly fan revenue (test case)</t>
        </is>
      </c>
      <c r="B46" s="22" t="n">
        <v>300</v>
      </c>
      <c r="D46" s="89" t="inlineStr">
        <is>
          <t>Change this to see who is cheapest at any revenue level.</t>
        </is>
      </c>
    </row>
    <row r="47" ht="30" customHeight="1">
      <c r="A47" s="15" t="inlineStr">
        <is>
          <t xml:space="preserve">  OnlyFans - athlete keeps</t>
        </is>
      </c>
      <c r="B47" s="31">
        <f>B46*(1-Comparables!B29)-B46/Assumptions!$C$54*Comparables!C29*B45-Comparables!D29*B45</f>
        <v/>
      </c>
      <c r="D47" s="89"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9"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9"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9"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9"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3" t="n">
        <v>2726.2</v>
      </c>
      <c r="D53" s="89" t="inlineStr">
        <is>
          <t>Millions. Eurostat / national statistics offices.</t>
        </is>
      </c>
    </row>
    <row r="54" ht="30" customHeight="1">
      <c r="A54" s="15" t="inlineStr">
        <is>
          <t>Population, Spain</t>
        </is>
      </c>
      <c r="B54" s="103" t="n">
        <v>48.6</v>
      </c>
      <c r="D54" s="89" t="inlineStr">
        <is>
          <t>Millions.</t>
        </is>
      </c>
    </row>
    <row r="55" ht="30" customHeight="1">
      <c r="A55" s="15" t="inlineStr">
        <is>
          <t>Share who do any sport (Spain)</t>
        </is>
      </c>
      <c r="B55" s="18" t="n">
        <v>0.5600000000000001</v>
      </c>
      <c r="D55" s="89" t="inlineStr">
        <is>
          <t>Eurobarometer 525 - Spain sits near the EU average of 55% who exercise at all.</t>
        </is>
      </c>
    </row>
    <row r="56" ht="30" customHeight="1">
      <c r="A56" s="15" t="inlineStr">
        <is>
          <t>Share with a public athletic identity</t>
        </is>
      </c>
      <c r="B56" s="18" t="n">
        <v>0.02</v>
      </c>
      <c r="D56" s="89" t="inlineStr">
        <is>
          <t>OUR ESTIMATE: competes, posts publicly, has a following worth sponsoring.</t>
        </is>
      </c>
    </row>
    <row r="57" ht="30" customHeight="1">
      <c r="A57" s="15" t="inlineStr">
        <is>
          <t>Share with commercial intent</t>
        </is>
      </c>
      <c r="B57" s="18" t="n">
        <v>0.25</v>
      </c>
      <c r="D57" s="89" t="inlineStr">
        <is>
          <t>OUR ESTIMATE: would monetise if the tooling existed.</t>
        </is>
      </c>
    </row>
    <row r="58" ht="15" customHeight="1">
      <c r="A58" s="2" t="inlineStr">
        <is>
          <t>→ Addressable athletes, Spain</t>
        </is>
      </c>
      <c r="B58" s="104">
        <f>B54*1000000*B55*B56*B57</f>
        <v/>
      </c>
      <c r="D58" s="89" t="inlineStr"/>
    </row>
    <row r="59" ht="30" customHeight="1">
      <c r="A59" s="2" t="inlineStr">
        <is>
          <t>→ Addressable athletes, all 34 countries</t>
        </is>
      </c>
      <c r="B59" s="104">
        <f>B53*1000000*0.5*B56*B57</f>
        <v/>
      </c>
      <c r="D59" s="89" t="inlineStr">
        <is>
          <t>Using a 50% blended participation rate across the 34 countries.</t>
        </is>
      </c>
    </row>
    <row r="60" ht="15" customHeight="1">
      <c r="A60" s="15" t="inlineStr">
        <is>
          <t>Y10 athletes in the plan</t>
        </is>
      </c>
      <c r="B60" s="43">
        <f>Assumptions!$L$5</f>
        <v/>
      </c>
      <c r="D60" s="89" t="inlineStr"/>
    </row>
    <row r="61" ht="15" customHeight="1">
      <c r="A61" s="2" t="inlineStr">
        <is>
          <t>→ Y10 penetration of Spain SAM</t>
        </is>
      </c>
      <c r="B61" s="102">
        <f>Assumptions!$L$5/B58</f>
        <v/>
      </c>
      <c r="D61" s="89" t="inlineStr"/>
    </row>
    <row r="62" ht="30" customHeight="1">
      <c r="A62" s="2" t="inlineStr">
        <is>
          <t>→ Y10 penetration of full TAM</t>
        </is>
      </c>
      <c r="B62" s="102">
        <f>Assumptions!$L$5/B59</f>
        <v/>
      </c>
      <c r="D62" s="89"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9" t="inlineStr">
        <is>
          <t>SOURCED = published figure | BENCHMARKED = set against named comparables | DERIVED = computed from other assumptions | ESTIMATE = judgement, no benchmark yet</t>
        </is>
      </c>
    </row>
    <row r="4">
      <c r="A4" s="105" t="inlineStr">
        <is>
          <t>Assumption</t>
        </is>
      </c>
      <c r="B4" s="105" t="inlineStr">
        <is>
          <t>Model value</t>
        </is>
      </c>
      <c r="C4" s="105" t="inlineStr">
        <is>
          <t>Method</t>
        </is>
      </c>
      <c r="D4" s="105" t="inlineStr">
        <is>
          <t>Benchmark / comparable</t>
        </is>
      </c>
      <c r="E4" s="105" t="inlineStr">
        <is>
          <t>Source</t>
        </is>
      </c>
      <c r="F4" s="105" t="inlineStr">
        <is>
          <t>Confidence</t>
        </is>
      </c>
      <c r="G4" s="105" t="inlineStr">
        <is>
          <t>What would replace the estimate</t>
        </is>
      </c>
    </row>
    <row r="5">
      <c r="A5" s="13" t="inlineStr">
        <is>
          <t xml:space="preserve">: PRICING &amp; TAKE RATE: </t>
        </is>
      </c>
      <c r="B5" s="14" t="n"/>
      <c r="C5" s="14" t="n"/>
      <c r="D5" s="14" t="n"/>
      <c r="E5" s="14" t="n"/>
      <c r="F5" s="14" t="n"/>
      <c r="G5" s="14" t="n"/>
    </row>
    <row r="6" ht="58" customHeight="1">
      <c r="A6" s="84" t="inlineStr">
        <is>
          <t>Take rate on fan revenue</t>
        </is>
      </c>
      <c r="B6" s="35">
        <f>Assumptions!$C$40</f>
        <v/>
      </c>
      <c r="C6" s="106" t="inlineStr">
        <is>
          <t>BENCHMARKED</t>
        </is>
      </c>
      <c r="D6" s="107" t="inlineStr">
        <is>
          <t>Passes charges 10% but adds $0.30/txn and a $29/month creator fee; OnlyFans, Fansly and Fanfix are all 20%; Patreon 8-12%. A flat 15% with no monthly fee pays an athlete more than Passes for anyone under EUR 1,380/month of fan revenue.</t>
        </is>
      </c>
      <c r="E6" s="107" t="inlineStr">
        <is>
          <t>Sacra company profile (Passes); Passes rebrand release, Apr 2026; MEXC platform comparison 2026</t>
        </is>
      </c>
      <c r="F6" s="108" t="inlineStr">
        <is>
          <t>High</t>
        </is>
      </c>
      <c r="G6" s="107" t="inlineStr">
        <is>
          <t>Nothing. This is a pricing decision and the comparables are public.</t>
        </is>
      </c>
    </row>
    <row r="7" ht="58" customHeight="1">
      <c r="A7" s="84" t="inlineStr">
        <is>
          <t>Sponsorship commission, Scout Pro</t>
        </is>
      </c>
      <c r="B7" s="35">
        <f>Assumptions!$C$42</f>
        <v/>
      </c>
      <c r="C7" s="106" t="inlineStr">
        <is>
          <t>BENCHMARKED</t>
        </is>
      </c>
      <c r="D7" s="10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7" t="inlineStr">
        <is>
          <t>Priced against the agent range; the discount itself is a pricing decision</t>
        </is>
      </c>
      <c r="F7" s="108" t="inlineStr">
        <is>
          <t>High</t>
        </is>
      </c>
      <c r="G7" s="107" t="inlineStr">
        <is>
          <t>Nothing to improve. This is a decision, not a measurement.</t>
        </is>
      </c>
    </row>
    <row r="8" ht="58" customHeight="1">
      <c r="A8" s="84" t="inlineStr">
        <is>
          <t>Sponsorship commission, Scout Agency</t>
        </is>
      </c>
      <c r="B8" s="35">
        <f>Assumptions!$C$43</f>
        <v/>
      </c>
      <c r="C8" s="106" t="inlineStr">
        <is>
          <t>BENCHMARKED</t>
        </is>
      </c>
      <c r="D8" s="107" t="inlineStr">
        <is>
          <t>5%, which is half the low end of what an agent charges and a quarter of the high end. The most committed tier pays EUR 11,988 a year, so the deal rate can fall furthest here.</t>
        </is>
      </c>
      <c r="E8" s="107" t="inlineStr">
        <is>
          <t>Oreate and Sapling agent-commission surveys, 10-20%</t>
        </is>
      </c>
      <c r="F8" s="108" t="inlineStr">
        <is>
          <t>High</t>
        </is>
      </c>
      <c r="G8" s="107" t="inlineStr">
        <is>
          <t>Nothing to improve. This is a decision, not a measurement.</t>
        </is>
      </c>
    </row>
    <row r="9" ht="58" customHeight="1">
      <c r="A9" s="84" t="inlineStr">
        <is>
          <t>Subscriber share of deal volume</t>
        </is>
      </c>
      <c r="B9" s="35">
        <f>Assumptions!$C$44</f>
        <v/>
      </c>
      <c r="C9" s="109" t="inlineStr">
        <is>
          <t>ESTIMATE</t>
        </is>
      </c>
      <c r="D9" s="10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7" t="inlineStr">
        <is>
          <t>None. No tier-level deal volume exists yet, because no tier exists yet</t>
        </is>
      </c>
      <c r="F9" s="110" t="inlineStr">
        <is>
          <t>Low</t>
        </is>
      </c>
      <c r="G9" s="107" t="inlineStr">
        <is>
          <t>The first year of billing settles it exactly.</t>
        </is>
      </c>
    </row>
    <row r="10" ht="58" customHeight="1">
      <c r="A10" s="84" t="inlineStr">
        <is>
          <t>Take rate on sponsorship</t>
        </is>
      </c>
      <c r="B10" s="35">
        <f>Assumptions!$C$41</f>
        <v/>
      </c>
      <c r="C10" s="106" t="inlineStr">
        <is>
          <t>BENCHMARKED</t>
        </is>
      </c>
      <c r="D10" s="107" t="inlineStr">
        <is>
          <t>Sports agents take 10-20% of an endorsement and 4-10% of a playing contract. On OnlyFans, management agencies take a further 20-50% on top of the platform's 20%.</t>
        </is>
      </c>
      <c r="E10" s="107" t="inlineStr">
        <is>
          <t>Oreate and Sapling agent-commission surveys; Aruna Talent agency rate guide 2026</t>
        </is>
      </c>
      <c r="F10" s="108" t="inlineStr">
        <is>
          <t>High</t>
        </is>
      </c>
      <c r="G10" s="107" t="inlineStr">
        <is>
          <t>Observed deal data once the marketplace is running.</t>
        </is>
      </c>
    </row>
    <row r="11" ht="58" customHeight="1">
      <c r="A11" s="84" t="inlineStr">
        <is>
          <t>Suggested tiers 4.99 / 9.99 / 24.99</t>
        </is>
      </c>
      <c r="B11" s="111" t="inlineStr">
        <is>
          <t>see model</t>
        </is>
      </c>
      <c r="C11" s="106" t="inlineStr">
        <is>
          <t>BENCHMARKED</t>
        </is>
      </c>
      <c r="D11" s="107" t="inlineStr">
        <is>
          <t>Patreon's typical patronage is quoted at $8-12/month, so the EUR 9.99 anchor sits inside the observed band. EUR 4.99 retains only 54% of our take after payment fees, against 71% at EUR 9.99: which is why the floor matters more than the take rate.</t>
        </is>
      </c>
      <c r="E11" s="107" t="inlineStr">
        <is>
          <t>Patreon 2024 Transparency Report; independent audits of ~1,200 creators</t>
        </is>
      </c>
      <c r="F11" s="112" t="inlineStr">
        <is>
          <t>Medium</t>
        </is>
      </c>
      <c r="G11" s="107" t="inlineStr">
        <is>
          <t>Our own tier mix after P1.</t>
        </is>
      </c>
    </row>
    <row r="12" ht="58" customHeight="1">
      <c r="A12" s="84" t="inlineStr">
        <is>
          <t>Season pass / annual billing</t>
        </is>
      </c>
      <c r="B12" s="111" t="inlineStr">
        <is>
          <t>see model</t>
        </is>
      </c>
      <c r="C12" s="113" t="inlineStr">
        <is>
          <t>SOURCED</t>
        </is>
      </c>
      <c r="D12" s="107" t="inlineStr">
        <is>
          <t>Patreon reports that annual patrons churn at ONE THIRD the rate of monthly patrons. This is the single strongest piece of evidence in the plan for pushing annual billing.</t>
        </is>
      </c>
      <c r="E12" s="107" t="inlineStr">
        <is>
          <t>Patreon 2024 Transparency Report</t>
        </is>
      </c>
      <c r="F12" s="108" t="inlineStr">
        <is>
          <t>High</t>
        </is>
      </c>
      <c r="G12" s="107" t="inlineStr">
        <is>
          <t>Already strong. Confirm on our own cohorts.</t>
        </is>
      </c>
    </row>
    <row r="13">
      <c r="A13" s="13" t="inlineStr">
        <is>
          <t xml:space="preserve">: FAN ECONOMICS: </t>
        </is>
      </c>
      <c r="B13" s="14" t="n"/>
      <c r="C13" s="14" t="n"/>
      <c r="D13" s="14" t="n"/>
      <c r="E13" s="14" t="n"/>
      <c r="F13" s="14" t="n"/>
      <c r="G13" s="14" t="n"/>
    </row>
    <row r="14" ht="58" customHeight="1">
      <c r="A14" s="84" t="inlineStr">
        <is>
          <t>Fan ARPU per month</t>
        </is>
      </c>
      <c r="B14" s="35">
        <f>Assumptions!$C$12</f>
        <v/>
      </c>
      <c r="C14" s="106" t="inlineStr">
        <is>
          <t>BENCHMARKED</t>
        </is>
      </c>
      <c r="D14" s="107" t="inlineStr">
        <is>
          <t>Patreon's average monthly support rose from $5.40 to $6.10 during 2024, with typical patronage quoted at $8-12. Our EUR 8.00-9.50 sits in the upper-middle of that range.</t>
        </is>
      </c>
      <c r="E14" s="107" t="inlineStr">
        <is>
          <t>Patreon 2024 Transparency Report</t>
        </is>
      </c>
      <c r="F14" s="112" t="inlineStr">
        <is>
          <t>Medium</t>
        </is>
      </c>
      <c r="G14" s="107" t="inlineStr">
        <is>
          <t>Actual ARPU by tier and sport after P1.</t>
        </is>
      </c>
    </row>
    <row r="15" ht="58" customHeight="1">
      <c r="A15" s="84" t="inlineStr">
        <is>
          <t>Fan churn per month</t>
        </is>
      </c>
      <c r="B15" s="35">
        <f>Assumptions!$C$13</f>
        <v/>
      </c>
      <c r="C15" s="109" t="inlineStr">
        <is>
          <t>ESTIMATE</t>
        </is>
      </c>
      <c r="D15" s="107" t="inlineStr">
        <is>
          <t>OPTIMISTIC AGAINST BENCHMARK. Patreon runs 10-15% monthly. We assume 6-9% (niche) and 9-13% (popular), arguing that training content is habitual and that competitive seasons create natural renewal moments. That argument is currently untested.</t>
        </is>
      </c>
      <c r="E15" s="107" t="inlineStr">
        <is>
          <t>Patreon 2024 Transparency Report (10-15%/month)</t>
        </is>
      </c>
      <c r="F15" s="110" t="inlineStr">
        <is>
          <t>Low</t>
        </is>
      </c>
      <c r="G15" s="107" t="inlineStr">
        <is>
          <t>THE most important number to measure in P1. Three months of real cohorts settles it. Until then the conservative case should be treated as the plan.</t>
        </is>
      </c>
    </row>
    <row r="16" ht="58" customHeight="1">
      <c r="A16" s="84" t="inlineStr">
        <is>
          <t>Paying fans per monetising athlete</t>
        </is>
      </c>
      <c r="B16" s="35">
        <f>Assumptions!$C$11</f>
        <v/>
      </c>
      <c r="C16" s="114" t="inlineStr">
        <is>
          <t>DERIVED</t>
        </is>
      </c>
      <c r="D16" s="107" t="inlineStr">
        <is>
          <t>20 rising to 48 over ten years. Cross-check: Patreon creators average $350/month and our modelled niche athlete at maturity earns about EUR 313/month, closely aligned, which is reassuring for an assumption built bottom-up rather than from a comparable.</t>
        </is>
      </c>
      <c r="E16" s="107" t="inlineStr">
        <is>
          <t>Patreon 2024 Transparency Report (creator average $350/month)</t>
        </is>
      </c>
      <c r="F16" s="112" t="inlineStr">
        <is>
          <t>Medium</t>
        </is>
      </c>
      <c r="G16" s="107" t="inlineStr">
        <is>
          <t>Observed fans per athlete, banded by follower count.</t>
        </is>
      </c>
    </row>
    <row r="17" ht="58" customHeight="1">
      <c r="A17" s="84" t="inlineStr">
        <is>
          <t>Share of athletes who monetise</t>
        </is>
      </c>
      <c r="B17" s="35">
        <f>Assumptions!$C$10</f>
        <v/>
      </c>
      <c r="C17" s="109" t="inlineStr">
        <is>
          <t>ESTIMATE</t>
        </is>
      </c>
      <c r="D17" s="107" t="inlineStr">
        <is>
          <t>28% rising to 50% for niche sports. No direct comparable exists: neither Patreon nor OnlyFans publishes activation rates for creators who sign up but never charge.</t>
        </is>
      </c>
      <c r="E17" s="107" t="inlineStr">
        <is>
          <t>None found</t>
        </is>
      </c>
      <c r="F17" s="110" t="inlineStr">
        <is>
          <t>Low</t>
        </is>
      </c>
      <c r="G17" s="107" t="inlineStr">
        <is>
          <t>Our own activation funnel, available from P1 onward.</t>
        </is>
      </c>
    </row>
    <row r="18" ht="58" customHeight="1">
      <c r="A18" s="84" t="inlineStr">
        <is>
          <t>Fan acquisition capacity</t>
        </is>
      </c>
      <c r="B18" s="111" t="inlineStr">
        <is>
          <t>see model</t>
        </is>
      </c>
      <c r="C18" s="109" t="inlineStr">
        <is>
          <t>ESTIMATE</t>
        </is>
      </c>
      <c r="D18" s="107" t="inlineStr">
        <is>
          <t>An athlete can recruit 30-69 new paying fans a year depending on segment. This ceiling is what makes churn bite in the model: without it, higher churn perversely RAISED revenue, because the year-end target was reachable at any churn rate.</t>
        </is>
      </c>
      <c r="E18" s="107" t="inlineStr">
        <is>
          <t>None: introduced to fix a modelling flaw found by stress testing</t>
        </is>
      </c>
      <c r="F18" s="110" t="inlineStr">
        <is>
          <t>Low</t>
        </is>
      </c>
      <c r="G18" s="107" t="inlineStr">
        <is>
          <t>Observed gross adds per athlete per year.</t>
        </is>
      </c>
    </row>
    <row r="19">
      <c r="A19" s="13" t="inlineStr">
        <is>
          <t xml:space="preserve">: PAYMENT RAILS: </t>
        </is>
      </c>
      <c r="B19" s="14" t="n"/>
      <c r="C19" s="14" t="n"/>
      <c r="D19" s="14" t="n"/>
      <c r="E19" s="14" t="n"/>
      <c r="F19" s="14" t="n"/>
      <c r="G19" s="14" t="n"/>
    </row>
    <row r="20" ht="58" customHeight="1">
      <c r="A20" s="84" t="inlineStr">
        <is>
          <t>PSP percentage fee</t>
        </is>
      </c>
      <c r="B20" s="35">
        <f>Assumptions!$C$50</f>
        <v/>
      </c>
      <c r="C20" s="113" t="inlineStr">
        <is>
          <t>SOURCED</t>
        </is>
      </c>
      <c r="D20" s="10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7" t="inlineStr">
        <is>
          <t>Stripe published EU/EEA pricing, 2026</t>
        </is>
      </c>
      <c r="F20" s="108" t="inlineStr">
        <is>
          <t>High</t>
        </is>
      </c>
      <c r="G20" s="107" t="inlineStr">
        <is>
          <t>Interchange-plus terms become negotiable above roughly EUR 5M processed.</t>
        </is>
      </c>
    </row>
    <row r="21" ht="58" customHeight="1">
      <c r="A21" s="84" t="inlineStr">
        <is>
          <t>PSP fixed fee per transaction</t>
        </is>
      </c>
      <c r="B21" s="35">
        <f>Assumptions!$C$51</f>
        <v/>
      </c>
      <c r="C21" s="113" t="inlineStr">
        <is>
          <t>SOURCED</t>
        </is>
      </c>
      <c r="D21" s="107" t="inlineStr">
        <is>
          <t>EUR 0.25 per transaction. On a EUR 4.99 tier that single fee is a third of our take, which is why the tier floor and annual billing move more margin than the take rate does.</t>
        </is>
      </c>
      <c r="E21" s="107" t="inlineStr">
        <is>
          <t>Stripe published pricing, 2026</t>
        </is>
      </c>
      <c r="F21" s="108" t="inlineStr">
        <is>
          <t>High</t>
        </is>
      </c>
      <c r="G21" s="107" t="inlineStr">
        <is>
          <t>Volume renegotiation; annual billing turns twelve fees into one.</t>
        </is>
      </c>
    </row>
    <row r="22" ht="58" customHeight="1">
      <c r="A22" s="84" t="inlineStr">
        <is>
          <t>Payout fees</t>
        </is>
      </c>
      <c r="B22" s="35">
        <f>Assumptions!$C$52</f>
        <v/>
      </c>
      <c r="C22" s="113" t="inlineStr">
        <is>
          <t>SOURCED</t>
        </is>
      </c>
      <c r="D22" s="107" t="inlineStr">
        <is>
          <t>Stripe Connect Express: roughly 0.25% + EUR 0.25 per payout, plus a monthly active-account fee that is not modelled as a separate line.</t>
        </is>
      </c>
      <c r="E22" s="107" t="inlineStr">
        <is>
          <t>Stripe Connect pricing, 2026</t>
        </is>
      </c>
      <c r="F22" s="112" t="inlineStr">
        <is>
          <t>Medium</t>
        </is>
      </c>
      <c r="G22" s="107" t="inlineStr">
        <is>
          <t>Actual payout frequency once athletes are onboarded.</t>
        </is>
      </c>
    </row>
    <row r="23">
      <c r="A23" s="13" t="inlineStr">
        <is>
          <t xml:space="preserve">: MARKET SIZING: </t>
        </is>
      </c>
      <c r="B23" s="14" t="n"/>
      <c r="C23" s="14" t="n"/>
      <c r="D23" s="14" t="n"/>
      <c r="E23" s="14" t="n"/>
      <c r="F23" s="14" t="n"/>
      <c r="G23" s="14" t="n"/>
    </row>
    <row r="24" ht="58" customHeight="1">
      <c r="A24" s="84" t="inlineStr">
        <is>
          <t>Sport participation by country</t>
        </is>
      </c>
      <c r="B24" s="111" t="inlineStr">
        <is>
          <t>see model</t>
        </is>
      </c>
      <c r="C24" s="109" t="inlineStr">
        <is>
          <t>ESTIMATE</t>
        </is>
      </c>
      <c r="D24" s="107" t="inlineStr">
        <is>
          <t>Eurobarometer 525, share who NEVER exercise: Finland 8%, Sweden 12%, Denmark 20%, Poland 65%, Greece 68%, Portugal 73%, EU-27 average 45%. Six of the 34 countries in the index are measured; the other 28 are estimates placed inside that distribution.</t>
        </is>
      </c>
      <c r="E24" s="107" t="inlineStr">
        <is>
          <t>Special Eurobarometer 525, Sport and Physical Activity, September 2022</t>
        </is>
      </c>
      <c r="F24" s="112" t="inlineStr">
        <is>
          <t>Medium</t>
        </is>
      </c>
      <c r="G24" s="107" t="inlineStr">
        <is>
          <t>Federation licence counts, published annually and free (CSD in Spain).</t>
        </is>
      </c>
    </row>
    <row r="25" ht="58" customHeight="1">
      <c r="A25" s="84" t="inlineStr">
        <is>
          <t>Padel market size</t>
        </is>
      </c>
      <c r="B25" s="111" t="inlineStr">
        <is>
          <t>see model</t>
        </is>
      </c>
      <c r="C25" s="113" t="inlineStr">
        <is>
          <t>SOURCED</t>
        </is>
      </c>
      <c r="D25" s="10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7" t="inlineStr">
        <is>
          <t>FIP World Padel Report 2025</t>
        </is>
      </c>
      <c r="F25" s="108" t="inlineStr">
        <is>
          <t>High</t>
        </is>
      </c>
      <c r="G25" s="107" t="inlineStr">
        <is>
          <t>Annual FIP refresh.</t>
        </is>
      </c>
    </row>
    <row r="26" ht="58" customHeight="1">
      <c r="A26" s="84" t="inlineStr">
        <is>
          <t>Sports fandom by country</t>
        </is>
      </c>
      <c r="B26" s="111" t="inlineStr">
        <is>
          <t>see model</t>
        </is>
      </c>
      <c r="C26" s="109" t="inlineStr">
        <is>
          <t>ESTIMATE</t>
        </is>
      </c>
      <c r="D26" s="107" t="inlineStr">
        <is>
          <t>The weakest layer of the sport index, and it drives both the `demand` and `appetite` signals. Commercial audience panels (Nielsen Sports, YouGov) cost more than the entire Y1-Y2 analytics budget.</t>
        </is>
      </c>
      <c r="E26" s="107" t="inlineStr">
        <is>
          <t>None: reasoned estimates only</t>
        </is>
      </c>
      <c r="F26" s="110" t="inlineStr">
        <is>
          <t>Low</t>
        </is>
      </c>
      <c r="G26" s="107" t="inlineStr">
        <is>
          <t>Our own engagement data per sport per country once connectors are live. This is what makes the index self-improving rather than something anyone could copy.</t>
        </is>
      </c>
    </row>
    <row r="27" ht="58" customHeight="1">
      <c r="A27" s="84" t="inlineStr">
        <is>
          <t>Athlete count trajectory</t>
        </is>
      </c>
      <c r="B27" s="35">
        <f>Assumptions!$C$5</f>
        <v/>
      </c>
      <c r="C27" s="109" t="inlineStr">
        <is>
          <t>ESTIMATE</t>
        </is>
      </c>
      <c r="D27" s="107" t="inlineStr">
        <is>
          <t>250 rising to 8,500 over ten years. This is the PLAN, not a benchmark: marketing spend is derived from it at segment CAC, not the other way round. Everything in the model scales off this line.</t>
        </is>
      </c>
      <c r="E27" s="107" t="inlineStr">
        <is>
          <t>None: it is a target</t>
        </is>
      </c>
      <c r="F27" s="110" t="inlineStr">
        <is>
          <t>Low</t>
        </is>
      </c>
      <c r="G27" s="107" t="inlineStr">
        <is>
          <t>The pre-seed gate tests it directly: 250 athletes and the first paying sponsors.</t>
        </is>
      </c>
    </row>
    <row r="28">
      <c r="A28" s="13" t="inlineStr">
        <is>
          <t xml:space="preserve">: COSTS: </t>
        </is>
      </c>
      <c r="B28" s="14" t="n"/>
      <c r="C28" s="14" t="n"/>
      <c r="D28" s="14" t="n"/>
      <c r="E28" s="14" t="n"/>
      <c r="F28" s="14" t="n"/>
      <c r="G28" s="14" t="n"/>
    </row>
    <row r="29" ht="58" customHeight="1">
      <c r="A29" s="84" t="inlineStr">
        <is>
          <t>Athlete CAC</t>
        </is>
      </c>
      <c r="B29" s="35">
        <f>Assumptions!$C$19</f>
        <v/>
      </c>
      <c r="C29" s="109" t="inlineStr">
        <is>
          <t>ESTIMATE</t>
        </is>
      </c>
      <c r="D29" s="107" t="inlineStr">
        <is>
          <t>EUR 16-36 for niche, EUR 40-88 for popular. The gap reflects displacing an existing agent relationship versus reaching someone with no representation at all. No published comparable exists for athlete acquisition in this segment.</t>
        </is>
      </c>
      <c r="E29" s="107" t="inlineStr">
        <is>
          <t>None found</t>
        </is>
      </c>
      <c r="F29" s="110" t="inlineStr">
        <is>
          <t>Low</t>
        </is>
      </c>
      <c r="G29" s="107" t="inlineStr">
        <is>
          <t>Measured CAC by channel from the first federation partnership.</t>
        </is>
      </c>
    </row>
    <row r="30" ht="58" customHeight="1">
      <c r="A30" s="84" t="inlineStr">
        <is>
          <t>Admission rate, direct applicants</t>
        </is>
      </c>
      <c r="B30" s="35">
        <f>Assumptions!$C$82</f>
        <v/>
      </c>
      <c r="C30" s="114" t="inlineStr">
        <is>
          <t>DERIVED</t>
        </is>
      </c>
      <c r="D30" s="10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7" t="inlineStr">
        <is>
          <t>scripts/admission_stress.py, section 7, over a modelled applicant mix</t>
        </is>
      </c>
      <c r="F30" s="112" t="inlineStr">
        <is>
          <t>Medium</t>
        </is>
      </c>
      <c r="G30" s="107" t="inlineStr">
        <is>
          <t>Real intake data. The mix the sweep assumes is the soft part, not the arithmetic.</t>
        </is>
      </c>
    </row>
    <row r="31" ht="58" customHeight="1">
      <c r="A31" s="84" t="inlineStr">
        <is>
          <t>Admission rate, club-nominated</t>
        </is>
      </c>
      <c r="B31" s="35">
        <f>Assumptions!$C$84</f>
        <v/>
      </c>
      <c r="C31" s="109" t="inlineStr">
        <is>
          <t>ESTIMATE</t>
        </is>
      </c>
      <c r="D31" s="10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7" t="inlineStr">
        <is>
          <t>None: the mechanism is built and tested, the conversion is not yet measured</t>
        </is>
      </c>
      <c r="F31" s="110" t="inlineStr">
        <is>
          <t>Low</t>
        </is>
      </c>
      <c r="G31" s="107" t="inlineStr">
        <is>
          <t>The first federation partnership: nominated applicants are tagged, so this is measurable from day one of it.</t>
        </is>
      </c>
    </row>
    <row r="32" ht="58" customHeight="1">
      <c r="A32" s="84" t="inlineStr">
        <is>
          <t>Athlete verification cost</t>
        </is>
      </c>
      <c r="B32" s="35">
        <f>Assumptions!$C$87</f>
        <v/>
      </c>
      <c r="C32" s="114" t="inlineStr">
        <is>
          <t>DERIVED</t>
        </is>
      </c>
      <c r="D32" s="10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7" t="inlineStr">
        <is>
          <t>Derived from the sweep's review volume and the model's own salary line</t>
        </is>
      </c>
      <c r="F32" s="112" t="inlineStr">
        <is>
          <t>Medium</t>
        </is>
      </c>
      <c r="G32" s="107" t="inlineStr">
        <is>
          <t>Timing real reviews. Four minutes is an estimate of a mechanical task.</t>
        </is>
      </c>
    </row>
    <row r="33" ht="58" customHeight="1">
      <c r="A33" s="84" t="inlineStr">
        <is>
          <t>Athlete CAC vs the funnel</t>
        </is>
      </c>
      <c r="B33" s="35">
        <f>Assumptions!$C$19</f>
        <v/>
      </c>
      <c r="C33" s="109" t="inlineStr">
        <is>
          <t>ESTIMATE</t>
        </is>
      </c>
      <c r="D33" s="10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7" t="inlineStr">
        <is>
          <t>None: this is a definitional choice, made explicit so it is not silently reversed</t>
        </is>
      </c>
      <c r="F33" s="110" t="inlineStr">
        <is>
          <t>Low</t>
        </is>
      </c>
      <c r="G33" s="107" t="inlineStr">
        <is>
          <t>Channel-level spend against applications, which the funnel now records.</t>
        </is>
      </c>
    </row>
    <row r="34" ht="58" customHeight="1">
      <c r="A34" s="84" t="inlineStr">
        <is>
          <t>Loaded salary, Spain</t>
        </is>
      </c>
      <c r="B34" s="35">
        <f>Assumptions!$C$67</f>
        <v/>
      </c>
      <c r="C34" s="106" t="inlineStr">
        <is>
          <t>BENCHMARKED</t>
        </is>
      </c>
      <c r="D34" s="10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7" t="inlineStr">
        <is>
          <t>Spanish Seguridad Social employer contribution rates</t>
        </is>
      </c>
      <c r="F34" s="112" t="inlineStr">
        <is>
          <t>Medium</t>
        </is>
      </c>
      <c r="G34" s="107" t="inlineStr">
        <is>
          <t>Actual offers accepted.</t>
        </is>
      </c>
    </row>
    <row r="35" ht="58" customHeight="1">
      <c r="A35" s="84" t="inlineStr">
        <is>
          <t>AWS infrastructure</t>
        </is>
      </c>
      <c r="B35" s="35">
        <f>Assumptions!$C$58</f>
        <v/>
      </c>
      <c r="C35" s="106" t="inlineStr">
        <is>
          <t>BENCHMARKED</t>
        </is>
      </c>
      <c r="D35" s="107" t="inlineStr">
        <is>
          <t>Built up per stage from list prices: Fargate, RDS then Aurora, ElastiCache, S3, MediaConvert, CloudWatch. Reserved capacity and Savings Plans (25-40%) are deliberately excluded and treated as upside.</t>
        </is>
      </c>
      <c r="E35" s="107" t="inlineStr">
        <is>
          <t>AWS published list pricing, 2026</t>
        </is>
      </c>
      <c r="F35" s="112" t="inlineStr">
        <is>
          <t>Medium</t>
        </is>
      </c>
      <c r="G35" s="107" t="inlineStr">
        <is>
          <t>Actual bills; commit to Savings Plans once usage is stable.</t>
        </is>
      </c>
    </row>
    <row r="36" ht="58" customHeight="1">
      <c r="A36" s="84" t="inlineStr">
        <is>
          <t>Media egress</t>
        </is>
      </c>
      <c r="B36" s="35">
        <f>Assumptions!$C$60</f>
        <v/>
      </c>
      <c r="C36" s="113" t="inlineStr">
        <is>
          <t>SOURCED</t>
        </is>
      </c>
      <c r="D36" s="10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7" t="inlineStr">
        <is>
          <t>Cloudflare R2 and Backblaze B2 pricing; AWS CloudFront list price</t>
        </is>
      </c>
      <c r="F36" s="108" t="inlineStr">
        <is>
          <t>High</t>
        </is>
      </c>
      <c r="G36" s="107" t="inlineStr">
        <is>
          <t>Nothing. Both are published.</t>
        </is>
      </c>
    </row>
    <row r="37" ht="58" customHeight="1">
      <c r="A37" s="84" t="inlineStr">
        <is>
          <t>Moderation cost</t>
        </is>
      </c>
      <c r="B37" s="35">
        <f>Assumptions!$C$62</f>
        <v/>
      </c>
      <c r="C37" s="109" t="inlineStr">
        <is>
          <t>ESTIMATE</t>
        </is>
      </c>
      <c r="D37" s="107" t="inlineStr">
        <is>
          <t>EUR 22 per 1,000 items reviewed, on a hybrid of automated classification and human review. Vendor pricing varies widely with SLA and content type.</t>
        </is>
      </c>
      <c r="E37" s="107" t="inlineStr">
        <is>
          <t>None cited</t>
        </is>
      </c>
      <c r="F37" s="110" t="inlineStr">
        <is>
          <t>Low</t>
        </is>
      </c>
      <c r="G37" s="107" t="inlineStr">
        <is>
          <t>Vendor quotes once P2 scope is fixed.</t>
        </is>
      </c>
    </row>
    <row r="38">
      <c r="A38" s="13" t="inlineStr">
        <is>
          <t xml:space="preserve">: TAX, CAPITAL &amp; VALUATION: </t>
        </is>
      </c>
      <c r="B38" s="14" t="n"/>
      <c r="C38" s="14" t="n"/>
      <c r="D38" s="14" t="n"/>
      <c r="E38" s="14" t="n"/>
      <c r="F38" s="14" t="n"/>
      <c r="G38" s="14" t="n"/>
    </row>
    <row r="39" ht="58" customHeight="1">
      <c r="A39" s="84" t="inlineStr">
        <is>
          <t>Corporate tax rates</t>
        </is>
      </c>
      <c r="B39" s="35">
        <f>Assumptions!$C$77</f>
        <v/>
      </c>
      <c r="C39" s="113" t="inlineStr">
        <is>
          <t>SOURCED</t>
        </is>
      </c>
      <c r="D39" s="107" t="inlineStr">
        <is>
          <t>15% for the first four profitable years under the Spanish Startup Law, then the 25% standard rate. Modelled with loss carryforward against the Y1-Y4 losses.</t>
        </is>
      </c>
      <c r="E39" s="107" t="inlineStr">
        <is>
          <t>Ley de Startups (Spain); Impuesto sobre Sociedades</t>
        </is>
      </c>
      <c r="F39" s="108" t="inlineStr">
        <is>
          <t>High</t>
        </is>
      </c>
      <c r="G39" s="107" t="inlineStr">
        <is>
          <t>Confirm eligibility with a Spanish tax adviser before filing.</t>
        </is>
      </c>
    </row>
    <row r="40" ht="58" customHeight="1">
      <c r="A40" s="84" t="inlineStr">
        <is>
          <t>Risk-free rate</t>
        </is>
      </c>
      <c r="B40" s="35">
        <f>Assumptions!$C$97</f>
        <v/>
      </c>
      <c r="C40" s="113" t="inlineStr">
        <is>
          <t>SOURCED</t>
        </is>
      </c>
      <c r="D40" s="107" t="inlineStr">
        <is>
          <t>Spanish 10-year sovereign yield, ~3.2% in mid-2026. Used as the floor for the founder opportunity-cost calculation rather than as the discount rate.</t>
        </is>
      </c>
      <c r="E40" s="107" t="inlineStr">
        <is>
          <t>Spanish 10Y government bond yield</t>
        </is>
      </c>
      <c r="F40" s="108" t="inlineStr">
        <is>
          <t>High</t>
        </is>
      </c>
      <c r="G40" s="107" t="inlineStr">
        <is>
          <t>Refresh at the date of any raise.</t>
        </is>
      </c>
    </row>
    <row r="41" ht="58" customHeight="1">
      <c r="A41" s="84" t="inlineStr">
        <is>
          <t>WACC / discount rate</t>
        </is>
      </c>
      <c r="B41" s="111" t="inlineStr">
        <is>
          <t>see model</t>
        </is>
      </c>
      <c r="C41" s="106" t="inlineStr">
        <is>
          <t>BENCHMARKED</t>
        </is>
      </c>
      <c r="D41" s="10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7" t="inlineStr">
        <is>
          <t>Aswath Damodaran, NYU Stern, Cost of Capital by Industry (Europe), updated 5 January 2026</t>
        </is>
      </c>
      <c r="F41" s="112" t="inlineStr">
        <is>
          <t>Medium</t>
        </is>
      </c>
      <c r="G41" s="107" t="inlineStr">
        <is>
          <t>An actual term sheet prices this for you.</t>
        </is>
      </c>
    </row>
    <row r="42" ht="58" customHeight="1">
      <c r="A42" s="84" t="inlineStr">
        <is>
          <t>Exit revenue multiple</t>
        </is>
      </c>
      <c r="B42" s="35">
        <f>Assumptions!$C$96</f>
        <v/>
      </c>
      <c r="C42" s="106" t="inlineStr">
        <is>
          <t>BENCHMARKED</t>
        </is>
      </c>
      <c r="D42" s="107" t="inlineStr">
        <is>
          <t>6.5x blended. Marketplace comparables trade around 4x revenue and high-growth SaaS around 9x; our Y10 mix is roughly 55% marketplace take and 12% SaaS.</t>
        </is>
      </c>
      <c r="E42" s="107" t="inlineStr">
        <is>
          <t>Public marketplace and SaaS trading multiples</t>
        </is>
      </c>
      <c r="F42" s="112" t="inlineStr">
        <is>
          <t>Medium</t>
        </is>
      </c>
      <c r="G42" s="107" t="inlineStr">
        <is>
          <t>Comparable private transactions nearer an exit.</t>
        </is>
      </c>
    </row>
    <row r="43" ht="58" customHeight="1">
      <c r="A43" s="84" t="inlineStr">
        <is>
          <t>Terminal growth</t>
        </is>
      </c>
      <c r="B43" s="35">
        <f>Assumptions!$C$95</f>
        <v/>
      </c>
      <c r="C43" s="106" t="inlineStr">
        <is>
          <t>BENCHMARKED</t>
        </is>
      </c>
      <c r="D43" s="107" t="inlineStr">
        <is>
          <t>3%, approximating long-run nominal GDP. Ten explicit forecast years were chosen partly so this assumption carries less of the valuation than it would at Y7.</t>
        </is>
      </c>
      <c r="E43" s="107" t="inlineStr">
        <is>
          <t>Standard DCF convention</t>
        </is>
      </c>
      <c r="F43" s="112" t="inlineStr">
        <is>
          <t>Medium</t>
        </is>
      </c>
      <c r="G43" s="107" t="inlineStr">
        <is>
          <t>Nothing: it is a convention, and the grid shows its effect.</t>
        </is>
      </c>
    </row>
    <row r="44">
      <c r="A44" s="13" t="inlineStr">
        <is>
          <t xml:space="preserve">: COMPLIANCE: </t>
        </is>
      </c>
      <c r="B44" s="14" t="n"/>
      <c r="C44" s="14" t="n"/>
      <c r="D44" s="14" t="n"/>
      <c r="E44" s="14" t="n"/>
      <c r="F44" s="14" t="n"/>
      <c r="G44" s="14" t="n"/>
    </row>
    <row r="45" ht="58" customHeight="1">
      <c r="A45" s="84" t="inlineStr">
        <is>
          <t>Payout age floor</t>
        </is>
      </c>
      <c r="B45" s="111" t="inlineStr">
        <is>
          <t>see model</t>
        </is>
      </c>
      <c r="C45" s="113" t="inlineStr">
        <is>
          <t>SOURCED</t>
        </is>
      </c>
      <c r="D45" s="107" t="inlineStr">
        <is>
          <t>Stripe Express and Custom Connect require 18. Standard Connect allows 13+, but a legal guardian must own the account and hold the bank account the money lands in.</t>
        </is>
      </c>
      <c r="E45" s="107" t="inlineStr">
        <is>
          <t>Stripe Connect documentation</t>
        </is>
      </c>
      <c r="F45" s="108" t="inlineStr">
        <is>
          <t>High</t>
        </is>
      </c>
      <c r="G45" s="107" t="inlineStr">
        <is>
          <t>Nothing: it is a hard platform rule.</t>
        </is>
      </c>
    </row>
    <row r="46" ht="58" customHeight="1">
      <c r="A46" s="84" t="inlineStr">
        <is>
          <t>Digital consent age, Spain</t>
        </is>
      </c>
      <c r="B46" s="111" t="inlineStr">
        <is>
          <t>see model</t>
        </is>
      </c>
      <c r="C46" s="113" t="inlineStr">
        <is>
          <t>SOURCED</t>
        </is>
      </c>
      <c r="D46" s="107" t="inlineStr">
        <is>
          <t>14 today under LOPDGDD Art. 7. A draft Organic Law on the Protection of Minors in Digital Environments would raise it to 16 and make age verification mandatory, which is why 16 is the forward-compatible floor for an account.</t>
        </is>
      </c>
      <c r="E46" s="107" t="inlineStr">
        <is>
          <t>LOPDGDD Art. 7; draft Organic Law, Council of Ministers, March 2025</t>
        </is>
      </c>
      <c r="F46" s="108" t="inlineStr">
        <is>
          <t>High</t>
        </is>
      </c>
      <c r="G46" s="107" t="inlineStr">
        <is>
          <t>Track the bill through Parliament.</t>
        </is>
      </c>
    </row>
    <row r="48">
      <c r="A48" s="115" t="inlineStr">
        <is>
          <t>THE THREE ASSUMPTIONS MOST LIKELY TO BE WRONG</t>
        </is>
      </c>
    </row>
    <row r="49" ht="30" customHeight="1">
      <c r="A49" s="116" t="inlineStr">
        <is>
          <t>1. Fan churn. We assume 6-13%/month; Patreon reports 10-15%. If Patreon is right, Y10 revenue falls from about EUR 58M to EUR 51M and the capital requirement roughly doubles.</t>
        </is>
      </c>
    </row>
    <row r="50" ht="30" customHeight="1">
      <c r="A50" s="116" t="inlineStr">
        <is>
          <t>2. Athlete count. The trajectory is a target, not a forecast, and everything scales off it.</t>
        </is>
      </c>
    </row>
    <row r="51" ht="30" customHeight="1">
      <c r="A51" s="116" t="inlineStr">
        <is>
          <t>3. Share of athletes who monetise. No published comparable exists at all.</t>
        </is>
      </c>
    </row>
    <row r="52" ht="30" customHeight="1">
      <c r="A52" s="117" t="inlineStr"/>
    </row>
    <row r="53" ht="30" customHeight="1">
      <c r="A53" s="11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2026-10-01T13:07:10Z</dcterms:created>
  <dcterms:modified xsi:type="dcterms:W3CDTF">2026-10-01T13:07:10Z</dcterms:modified>
</cp:coreProperties>
</file>